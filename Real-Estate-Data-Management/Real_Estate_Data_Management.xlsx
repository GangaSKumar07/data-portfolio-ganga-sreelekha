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acf77962249a443/Desktop/PowerBI/"/>
    </mc:Choice>
  </mc:AlternateContent>
  <xr:revisionPtr revIDLastSave="509" documentId="8_{F67C0871-07DF-4774-A733-9177646BCCEB}" xr6:coauthVersionLast="47" xr6:coauthVersionMax="47" xr10:uidLastSave="{5CEADFFF-DE6C-4AD7-BA4B-A08455F25D9D}"/>
  <bookViews>
    <workbookView xWindow="-108" yWindow="-108" windowWidth="23256" windowHeight="12456" firstSheet="3" activeTab="6" xr2:uid="{00000000-000D-0000-FFFF-FFFF00000000}"/>
  </bookViews>
  <sheets>
    <sheet name="Landlords" sheetId="1" r:id="rId1"/>
    <sheet name="Properties" sheetId="2" r:id="rId2"/>
    <sheet name="Clients" sheetId="3" r:id="rId3"/>
    <sheet name="Transactions" sheetId="4" r:id="rId4"/>
    <sheet name="Pivot Tables" sheetId="5" r:id="rId5"/>
    <sheet name="ValidationList" sheetId="9" r:id="rId6"/>
    <sheet name="Real_Estate_Dashboard" sheetId="10" r:id="rId7"/>
  </sheets>
  <definedNames>
    <definedName name="PropertyStatusList">ValidationList!$B$2:$B$3</definedName>
    <definedName name="PropertyTypeList">ValidationList!$A$2:$A$3</definedName>
  </definedNames>
  <calcPr calcId="191029"/>
  <pivotCaches>
    <pivotCache cacheId="20" r:id="rId8"/>
    <pivotCache cacheId="10" r:id="rId9"/>
    <pivotCache cacheId="18" r:id="rId10"/>
    <pivotCache cacheId="25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E3" i="10"/>
  <c r="D3" i="10"/>
  <c r="C3" i="10"/>
  <c r="B3" i="10"/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ganga binish</author>
  </authors>
  <commentList>
    <comment ref="E1" authorId="0" shapeId="0" xr:uid="{2D9ED4E9-D8C1-4708-968D-B4D05C352497}">
      <text>
        <r>
          <rPr>
            <b/>
            <sz val="9"/>
            <color indexed="81"/>
            <rFont val="Tahoma"/>
            <family val="2"/>
          </rPr>
          <t>ganga binish:</t>
        </r>
        <r>
          <rPr>
            <sz val="9"/>
            <color indexed="81"/>
            <rFont val="Tahoma"/>
            <family val="2"/>
          </rPr>
          <t xml:space="preserve">
The highlighted cells shows the landlords who are inactive.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ganga binish</author>
  </authors>
  <commentList>
    <comment ref="F1" authorId="0" shapeId="0" xr:uid="{97353B93-D6BF-4EF8-8492-4E0DEDE82E47}">
      <text>
        <r>
          <rPr>
            <b/>
            <sz val="9"/>
            <color indexed="81"/>
            <rFont val="Tahoma"/>
            <family val="2"/>
          </rPr>
          <t>ganga binish:</t>
        </r>
        <r>
          <rPr>
            <sz val="9"/>
            <color indexed="81"/>
            <rFont val="Tahoma"/>
            <family val="2"/>
          </rPr>
          <t xml:space="preserve">
The highlighted cells represents the properties with rent &gt; 5000.</t>
        </r>
      </text>
    </comment>
  </commentList>
</comments>
</file>

<file path=xl/sharedStrings.xml><?xml version="1.0" encoding="utf-8"?>
<sst xmlns="http://schemas.openxmlformats.org/spreadsheetml/2006/main" count="1412" uniqueCount="519">
  <si>
    <t>Landlord_ID</t>
  </si>
  <si>
    <t>Landlord_Name</t>
  </si>
  <si>
    <t>Property_Count</t>
  </si>
  <si>
    <t>Property_Type</t>
  </si>
  <si>
    <t>City</t>
  </si>
  <si>
    <t>Contact_Status</t>
  </si>
  <si>
    <t>L0001</t>
  </si>
  <si>
    <t>Landlord_1</t>
  </si>
  <si>
    <t>Residential</t>
  </si>
  <si>
    <t>San Francisco</t>
  </si>
  <si>
    <t>Inactive</t>
  </si>
  <si>
    <t>L0002</t>
  </si>
  <si>
    <t>Landlord_2</t>
  </si>
  <si>
    <t>New York</t>
  </si>
  <si>
    <t>L0003</t>
  </si>
  <si>
    <t>Landlord_3</t>
  </si>
  <si>
    <t>Houston</t>
  </si>
  <si>
    <t>L0004</t>
  </si>
  <si>
    <t>Landlord_4</t>
  </si>
  <si>
    <t>Active</t>
  </si>
  <si>
    <t>L0005</t>
  </si>
  <si>
    <t>Landlord_5</t>
  </si>
  <si>
    <t>Commercial</t>
  </si>
  <si>
    <t>Phoenix</t>
  </si>
  <si>
    <t>L0006</t>
  </si>
  <si>
    <t>Landlord_6</t>
  </si>
  <si>
    <t>L0007</t>
  </si>
  <si>
    <t>Landlord_7</t>
  </si>
  <si>
    <t>Boston</t>
  </si>
  <si>
    <t>L0008</t>
  </si>
  <si>
    <t>Landlord_8</t>
  </si>
  <si>
    <t>L0009</t>
  </si>
  <si>
    <t>Landlord_9</t>
  </si>
  <si>
    <t>Los Angeles</t>
  </si>
  <si>
    <t>L0010</t>
  </si>
  <si>
    <t>Landlord_10</t>
  </si>
  <si>
    <t>L0011</t>
  </si>
  <si>
    <t>Landlord_11</t>
  </si>
  <si>
    <t>L0012</t>
  </si>
  <si>
    <t>Landlord_12</t>
  </si>
  <si>
    <t>L0013</t>
  </si>
  <si>
    <t>Landlord_13</t>
  </si>
  <si>
    <t>L0014</t>
  </si>
  <si>
    <t>Landlord_14</t>
  </si>
  <si>
    <t>L0015</t>
  </si>
  <si>
    <t>Landlord_15</t>
  </si>
  <si>
    <t>L0016</t>
  </si>
  <si>
    <t>Landlord_16</t>
  </si>
  <si>
    <t>Chicago</t>
  </si>
  <si>
    <t>L0017</t>
  </si>
  <si>
    <t>Landlord_17</t>
  </si>
  <si>
    <t>L0018</t>
  </si>
  <si>
    <t>Landlord_18</t>
  </si>
  <si>
    <t>L0019</t>
  </si>
  <si>
    <t>Landlord_19</t>
  </si>
  <si>
    <t>L0020</t>
  </si>
  <si>
    <t>Landlord_20</t>
  </si>
  <si>
    <t>L0021</t>
  </si>
  <si>
    <t>Landlord_21</t>
  </si>
  <si>
    <t>L0022</t>
  </si>
  <si>
    <t>Landlord_22</t>
  </si>
  <si>
    <t>L0023</t>
  </si>
  <si>
    <t>Landlord_23</t>
  </si>
  <si>
    <t>L0024</t>
  </si>
  <si>
    <t>Landlord_24</t>
  </si>
  <si>
    <t>L0025</t>
  </si>
  <si>
    <t>Landlord_25</t>
  </si>
  <si>
    <t>L0026</t>
  </si>
  <si>
    <t>Landlord_26</t>
  </si>
  <si>
    <t>L0027</t>
  </si>
  <si>
    <t>Landlord_27</t>
  </si>
  <si>
    <t>L0028</t>
  </si>
  <si>
    <t>Landlord_28</t>
  </si>
  <si>
    <t>L0029</t>
  </si>
  <si>
    <t>Landlord_29</t>
  </si>
  <si>
    <t>L0030</t>
  </si>
  <si>
    <t>Landlord_30</t>
  </si>
  <si>
    <t>Property_ID</t>
  </si>
  <si>
    <t>Area_sqft</t>
  </si>
  <si>
    <t>Location</t>
  </si>
  <si>
    <t>Monthly_Rent</t>
  </si>
  <si>
    <t>Property_Status</t>
  </si>
  <si>
    <t>P0001</t>
  </si>
  <si>
    <t>Downtown</t>
  </si>
  <si>
    <t>Occupied</t>
  </si>
  <si>
    <t>P0002</t>
  </si>
  <si>
    <t>Available</t>
  </si>
  <si>
    <t>P0003</t>
  </si>
  <si>
    <t>P0004</t>
  </si>
  <si>
    <t>Business District</t>
  </si>
  <si>
    <t>P0005</t>
  </si>
  <si>
    <t>P0006</t>
  </si>
  <si>
    <t>Suburb</t>
  </si>
  <si>
    <t>P0007</t>
  </si>
  <si>
    <t>Uptown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</si>
  <si>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</si>
  <si>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</si>
  <si>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</si>
  <si>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</si>
  <si>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</si>
  <si>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</si>
  <si>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</si>
  <si>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</si>
  <si>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</si>
  <si>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</si>
  <si>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</si>
  <si>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</si>
  <si>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</si>
  <si>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</si>
  <si>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</si>
  <si>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</si>
  <si>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</si>
  <si>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</si>
  <si>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</si>
  <si>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</si>
  <si>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</si>
  <si>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</si>
  <si>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</si>
  <si>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</si>
  <si>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</si>
  <si>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</si>
  <si>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</si>
  <si>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</si>
  <si>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</si>
  <si>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</si>
  <si>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</si>
  <si>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</si>
  <si>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</si>
  <si>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</si>
  <si>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</si>
  <si>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</si>
  <si>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</si>
  <si>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</si>
  <si>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</si>
  <si>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</si>
  <si>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</si>
  <si>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</si>
  <si>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</si>
  <si>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</si>
  <si>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</si>
  <si>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</si>
  <si>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</si>
  <si>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</si>
  <si>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</si>
  <si>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</si>
  <si>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</si>
  <si>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</si>
  <si>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</si>
  <si>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</si>
  <si>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</si>
  <si>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</si>
  <si>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</si>
  <si>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</si>
  <si>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</si>
  <si>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</si>
  <si>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</si>
  <si>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</si>
  <si>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</si>
  <si>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</si>
  <si>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</si>
  <si>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</si>
  <si>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</si>
  <si>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</si>
  <si>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</si>
  <si>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</si>
  <si>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</si>
  <si>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</si>
  <si>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</si>
  <si>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</si>
  <si>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</si>
  <si>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</si>
  <si>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</si>
  <si>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</si>
  <si>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</si>
  <si>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</si>
  <si>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</si>
  <si>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</si>
  <si>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</si>
  <si>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</si>
  <si>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</si>
  <si>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</si>
  <si>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</si>
  <si>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</si>
  <si>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</si>
  <si>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</si>
  <si>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</si>
  <si>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</si>
  <si>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</si>
  <si>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Client_ID</t>
  </si>
  <si>
    <t>Client_Name</t>
  </si>
  <si>
    <t>Client_Type</t>
  </si>
  <si>
    <t>Budget</t>
  </si>
  <si>
    <t>Preferred_Location</t>
  </si>
  <si>
    <t>C0001</t>
  </si>
  <si>
    <t>Client_1</t>
  </si>
  <si>
    <t>Corporate</t>
  </si>
  <si>
    <t>C0002</t>
  </si>
  <si>
    <t>Client_2</t>
  </si>
  <si>
    <t>C0003</t>
  </si>
  <si>
    <t>Client_3</t>
  </si>
  <si>
    <t>Individual</t>
  </si>
  <si>
    <t>C0004</t>
  </si>
  <si>
    <t>Client_4</t>
  </si>
  <si>
    <t>C0005</t>
  </si>
  <si>
    <t>Client_5</t>
  </si>
  <si>
    <t>C0006</t>
  </si>
  <si>
    <t>Client_6</t>
  </si>
  <si>
    <t>C0007</t>
  </si>
  <si>
    <t>Client_7</t>
  </si>
  <si>
    <t>C0008</t>
  </si>
  <si>
    <t>Client_8</t>
  </si>
  <si>
    <t>C0009</t>
  </si>
  <si>
    <t>Client_9</t>
  </si>
  <si>
    <t>C0010</t>
  </si>
  <si>
    <t>Client_10</t>
  </si>
  <si>
    <t>C0011</t>
  </si>
  <si>
    <t>Client_11</t>
  </si>
  <si>
    <t>C0012</t>
  </si>
  <si>
    <t>Client_12</t>
  </si>
  <si>
    <t>C0013</t>
  </si>
  <si>
    <t>Client_13</t>
  </si>
  <si>
    <t>C0014</t>
  </si>
  <si>
    <t>Client_14</t>
  </si>
  <si>
    <t>C0015</t>
  </si>
  <si>
    <t>Client_15</t>
  </si>
  <si>
    <t>C0016</t>
  </si>
  <si>
    <t>Client_16</t>
  </si>
  <si>
    <t>C0017</t>
  </si>
  <si>
    <t>Client_17</t>
  </si>
  <si>
    <t>C0018</t>
  </si>
  <si>
    <t>Client_18</t>
  </si>
  <si>
    <t>C0019</t>
  </si>
  <si>
    <t>Client_19</t>
  </si>
  <si>
    <t>C0020</t>
  </si>
  <si>
    <t>Client_20</t>
  </si>
  <si>
    <t>C0021</t>
  </si>
  <si>
    <t>Client_21</t>
  </si>
  <si>
    <t>C0022</t>
  </si>
  <si>
    <t>Client_22</t>
  </si>
  <si>
    <t>C0023</t>
  </si>
  <si>
    <t>Client_23</t>
  </si>
  <si>
    <t>C0024</t>
  </si>
  <si>
    <t>Client_24</t>
  </si>
  <si>
    <t>C0025</t>
  </si>
  <si>
    <t>Client_25</t>
  </si>
  <si>
    <t>C0026</t>
  </si>
  <si>
    <t>Client_26</t>
  </si>
  <si>
    <t>C0027</t>
  </si>
  <si>
    <t>Client_27</t>
  </si>
  <si>
    <t>C0028</t>
  </si>
  <si>
    <t>Client_28</t>
  </si>
  <si>
    <t>C0029</t>
  </si>
  <si>
    <t>Client_29</t>
  </si>
  <si>
    <t>C0030</t>
  </si>
  <si>
    <t>Client_30</t>
  </si>
  <si>
    <t>C0031</t>
  </si>
  <si>
    <t>Client_31</t>
  </si>
  <si>
    <t>C0032</t>
  </si>
  <si>
    <t>Client_32</t>
  </si>
  <si>
    <t>C0033</t>
  </si>
  <si>
    <t>Client_33</t>
  </si>
  <si>
    <t>C0034</t>
  </si>
  <si>
    <t>Client_34</t>
  </si>
  <si>
    <t>C0035</t>
  </si>
  <si>
    <t>Client_35</t>
  </si>
  <si>
    <t>C0036</t>
  </si>
  <si>
    <t>Client_36</t>
  </si>
  <si>
    <t>C0037</t>
  </si>
  <si>
    <t>Client_37</t>
  </si>
  <si>
    <t>C0038</t>
  </si>
  <si>
    <t>Client_38</t>
  </si>
  <si>
    <t>C0039</t>
  </si>
  <si>
    <t>Client_39</t>
  </si>
  <si>
    <t>C0040</t>
  </si>
  <si>
    <t>Client_40</t>
  </si>
  <si>
    <t>C0041</t>
  </si>
  <si>
    <t>Client_41</t>
  </si>
  <si>
    <t>C0042</t>
  </si>
  <si>
    <t>Client_42</t>
  </si>
  <si>
    <t>C0043</t>
  </si>
  <si>
    <t>Client_43</t>
  </si>
  <si>
    <t>C0044</t>
  </si>
  <si>
    <t>Client_44</t>
  </si>
  <si>
    <t>C0045</t>
  </si>
  <si>
    <t>Client_45</t>
  </si>
  <si>
    <t>C0046</t>
  </si>
  <si>
    <t>Client_46</t>
  </si>
  <si>
    <t>C0047</t>
  </si>
  <si>
    <t>Client_47</t>
  </si>
  <si>
    <t>C0048</t>
  </si>
  <si>
    <t>Client_48</t>
  </si>
  <si>
    <t>C0049</t>
  </si>
  <si>
    <t>Client_49</t>
  </si>
  <si>
    <t>C0050</t>
  </si>
  <si>
    <t>Client_50</t>
  </si>
  <si>
    <t>C0051</t>
  </si>
  <si>
    <t>Client_51</t>
  </si>
  <si>
    <t>C0052</t>
  </si>
  <si>
    <t>Client_52</t>
  </si>
  <si>
    <t>C0053</t>
  </si>
  <si>
    <t>Client_53</t>
  </si>
  <si>
    <t>C0054</t>
  </si>
  <si>
    <t>Client_54</t>
  </si>
  <si>
    <t>C0055</t>
  </si>
  <si>
    <t>Client_55</t>
  </si>
  <si>
    <t>C0056</t>
  </si>
  <si>
    <t>Client_56</t>
  </si>
  <si>
    <t>C0057</t>
  </si>
  <si>
    <t>Client_57</t>
  </si>
  <si>
    <t>C0058</t>
  </si>
  <si>
    <t>Client_58</t>
  </si>
  <si>
    <t>C0059</t>
  </si>
  <si>
    <t>Client_59</t>
  </si>
  <si>
    <t>C0060</t>
  </si>
  <si>
    <t>Client_60</t>
  </si>
  <si>
    <t>C0061</t>
  </si>
  <si>
    <t>Client_61</t>
  </si>
  <si>
    <t>C0062</t>
  </si>
  <si>
    <t>Client_62</t>
  </si>
  <si>
    <t>C0063</t>
  </si>
  <si>
    <t>Client_63</t>
  </si>
  <si>
    <t>C0064</t>
  </si>
  <si>
    <t>Client_64</t>
  </si>
  <si>
    <t>C0065</t>
  </si>
  <si>
    <t>Client_65</t>
  </si>
  <si>
    <t>C0066</t>
  </si>
  <si>
    <t>Client_66</t>
  </si>
  <si>
    <t>C0067</t>
  </si>
  <si>
    <t>Client_67</t>
  </si>
  <si>
    <t>C0068</t>
  </si>
  <si>
    <t>Client_68</t>
  </si>
  <si>
    <t>C0069</t>
  </si>
  <si>
    <t>Client_69</t>
  </si>
  <si>
    <t>C0070</t>
  </si>
  <si>
    <t>Client_70</t>
  </si>
  <si>
    <t>C0071</t>
  </si>
  <si>
    <t>Client_71</t>
  </si>
  <si>
    <t>C0072</t>
  </si>
  <si>
    <t>Client_72</t>
  </si>
  <si>
    <t>C0073</t>
  </si>
  <si>
    <t>Client_73</t>
  </si>
  <si>
    <t>C0074</t>
  </si>
  <si>
    <t>Client_74</t>
  </si>
  <si>
    <t>C0075</t>
  </si>
  <si>
    <t>Client_75</t>
  </si>
  <si>
    <t>C0076</t>
  </si>
  <si>
    <t>Client_76</t>
  </si>
  <si>
    <t>C0077</t>
  </si>
  <si>
    <t>Client_77</t>
  </si>
  <si>
    <t>C0078</t>
  </si>
  <si>
    <t>Client_78</t>
  </si>
  <si>
    <t>C0079</t>
  </si>
  <si>
    <t>Client_79</t>
  </si>
  <si>
    <t>C0080</t>
  </si>
  <si>
    <t>Client_80</t>
  </si>
  <si>
    <t>C0081</t>
  </si>
  <si>
    <t>Client_81</t>
  </si>
  <si>
    <t>C0082</t>
  </si>
  <si>
    <t>Client_82</t>
  </si>
  <si>
    <t>C0083</t>
  </si>
  <si>
    <t>Client_83</t>
  </si>
  <si>
    <t>C0084</t>
  </si>
  <si>
    <t>Client_84</t>
  </si>
  <si>
    <t>C0085</t>
  </si>
  <si>
    <t>Client_85</t>
  </si>
  <si>
    <t>C0086</t>
  </si>
  <si>
    <t>Client_86</t>
  </si>
  <si>
    <t>C0087</t>
  </si>
  <si>
    <t>Client_87</t>
  </si>
  <si>
    <t>C0088</t>
  </si>
  <si>
    <t>Client_88</t>
  </si>
  <si>
    <t>C0089</t>
  </si>
  <si>
    <t>Client_89</t>
  </si>
  <si>
    <t>C0090</t>
  </si>
  <si>
    <t>Client_90</t>
  </si>
  <si>
    <t>C0091</t>
  </si>
  <si>
    <t>Client_91</t>
  </si>
  <si>
    <t>C0092</t>
  </si>
  <si>
    <t>Client_92</t>
  </si>
  <si>
    <t>C0093</t>
  </si>
  <si>
    <t>Client_93</t>
  </si>
  <si>
    <t>C0094</t>
  </si>
  <si>
    <t>Client_94</t>
  </si>
  <si>
    <t>C0095</t>
  </si>
  <si>
    <t>Client_95</t>
  </si>
  <si>
    <t>C0096</t>
  </si>
  <si>
    <t>Client_96</t>
  </si>
  <si>
    <t>C0097</t>
  </si>
  <si>
    <t>Client_97</t>
  </si>
  <si>
    <t>C0098</t>
  </si>
  <si>
    <t>Client_98</t>
  </si>
  <si>
    <t>C0099</t>
  </si>
  <si>
    <t>Client_99</t>
  </si>
  <si>
    <t>C0100</t>
  </si>
  <si>
    <t>Client_100</t>
  </si>
  <si>
    <t>Transaction_ID</t>
  </si>
  <si>
    <t>Transaction_Date</t>
  </si>
  <si>
    <t>Rent_Value</t>
  </si>
  <si>
    <t>Contract_Duration_Months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</si>
  <si>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</si>
  <si>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</si>
  <si>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</si>
  <si>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</si>
  <si>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</si>
  <si>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</si>
  <si>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</si>
  <si>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</si>
  <si>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</si>
  <si>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</si>
  <si>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</si>
  <si>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</si>
  <si>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</si>
  <si>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</si>
  <si>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</si>
  <si>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</si>
  <si>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</si>
  <si>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</si>
  <si>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</si>
  <si>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</si>
  <si>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</si>
  <si>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</si>
  <si>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</si>
  <si>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</si>
  <si>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</si>
  <si>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</si>
  <si>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</si>
  <si>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</si>
  <si>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</si>
  <si>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</si>
  <si>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</si>
  <si>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</si>
  <si>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</si>
  <si>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</si>
  <si>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</si>
  <si>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</si>
  <si>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</si>
  <si>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</si>
  <si>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</si>
  <si>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</si>
  <si>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</si>
  <si>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</si>
  <si>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</si>
  <si>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</si>
  <si>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</si>
  <si>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</si>
  <si>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</si>
  <si>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</si>
  <si>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</si>
  <si>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</si>
  <si>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</si>
  <si>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</si>
  <si>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</si>
  <si>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</si>
  <si>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</si>
  <si>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</si>
  <si>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</si>
  <si>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</si>
  <si>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</si>
  <si>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</si>
  <si>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</si>
  <si>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</si>
  <si>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</si>
  <si>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</si>
  <si>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</si>
  <si>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</si>
  <si>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</si>
  <si>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</si>
  <si>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</si>
  <si>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</si>
  <si>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</si>
  <si>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</si>
  <si>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</si>
  <si>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</si>
  <si>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</si>
  <si>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</si>
  <si>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</si>
  <si>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</si>
  <si>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</si>
  <si>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</si>
  <si>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</si>
  <si>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</si>
  <si>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</si>
  <si>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</si>
  <si>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</si>
  <si>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</si>
  <si>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</si>
  <si>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</si>
  <si>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</si>
  <si>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</si>
  <si>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</si>
  <si>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</si>
  <si>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</si>
  <si>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</si>
  <si>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</si>
  <si>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</si>
  <si>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</si>
  <si>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</si>
  <si>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</si>
  <si>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</si>
  <si>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Total Rent by City</t>
  </si>
  <si>
    <t>Row Labels</t>
  </si>
  <si>
    <t>Grand Total</t>
  </si>
  <si>
    <t>Sum of Rent_Value</t>
  </si>
  <si>
    <t>Occupany rate</t>
  </si>
  <si>
    <t>Count of Property_ID</t>
  </si>
  <si>
    <t>Revenue by Property Type</t>
  </si>
  <si>
    <t>Top Landlords by Rental Revenue</t>
  </si>
  <si>
    <t>Landlords</t>
  </si>
  <si>
    <t>PropertyTypeList</t>
  </si>
  <si>
    <t>PropertyStatusList</t>
  </si>
  <si>
    <t>Value</t>
  </si>
  <si>
    <t>Metrics</t>
  </si>
  <si>
    <t>Total properties</t>
  </si>
  <si>
    <t>Occupied properties</t>
  </si>
  <si>
    <t>Available Properties</t>
  </si>
  <si>
    <t>Total Rental Revenue</t>
  </si>
  <si>
    <t>No of active landlords</t>
  </si>
  <si>
    <t>Occupied vs Available Properties</t>
  </si>
  <si>
    <t>Revenue by property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</si>
</sst>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4" borderId="1" xfId="0" applyFont="1" applyFill="1" applyBorder="1"/>
    <xf numFmtId="0" fontId="0" fillId="3" borderId="1" xfId="0" applyFont="1" applyFill="1" applyBorder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164" fontId="0" fillId="3" borderId="4" xfId="0" applyNumberFormat="1" applyFont="1" applyFill="1" applyBorder="1"/>
    <xf numFmtId="0" fontId="0" fillId="4" borderId="5" xfId="0" applyFont="1" applyFill="1" applyBorder="1"/>
    <xf numFmtId="164" fontId="0" fillId="4" borderId="1" xfId="0" applyNumberFormat="1" applyFont="1" applyFill="1" applyBorder="1"/>
    <xf numFmtId="0" fontId="0" fillId="3" borderId="5" xfId="0" applyFont="1" applyFill="1" applyBorder="1"/>
    <xf numFmtId="164" fontId="0" fillId="3" borderId="1" xfId="0" applyNumberFormat="1" applyFont="1" applyFill="1" applyBorder="1"/>
    <xf numFmtId="0" fontId="1" fillId="2" borderId="6" xfId="0" applyFont="1" applyFill="1" applyBorder="1"/>
    <xf numFmtId="0" fontId="0" fillId="4" borderId="4" xfId="0" applyFont="1" applyFill="1" applyBorder="1"/>
    <xf numFmtId="0" fontId="2" fillId="0" borderId="0" xfId="0" applyFont="1" applyAlignment="1">
      <alignment horizontal="left"/>
    </xf>
    <xf numFmtId="0" fontId="3" fillId="7" borderId="9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right" vertical="center"/>
    </xf>
    <xf numFmtId="0" fontId="3" fillId="9" borderId="9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2" fillId="6" borderId="7" xfId="0" applyFont="1" applyFill="1" applyBorder="1"/>
    <xf numFmtId="0" fontId="4" fillId="8" borderId="10" xfId="0" applyFont="1" applyFill="1" applyBorder="1" applyAlignment="1">
      <alignment horizontal="right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[Real_Estate_Data_Management.xlsx]Pivot Tables!PivotTable8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Tables'!$D$3:$D$5</c:f>
              <c:strCache>
                <c:ptCount val="2"/>
                <c:pt idx="0">
                  <c:v>Commercial</c:v>
                </c:pt>
                <c:pt idx="1">
                  <c:v>Residential</c:v>
                </c:pt>
              </c:strCache>
            </c:strRef>
          </c:cat>
          <c:val>
            <c:numRef>
              <c:f>'Pivot Tables'!$E$3:$E$5</c:f>
              <c:numCache>
                <c:formatCode>General</c:formatCode>
                <c:ptCount val="2"/>
                <c:pt idx="0">
                  <c:v>214964</c:v>
                </c:pt>
                <c:pt idx="1">
                  <c:v>225920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F-4A27-8D67-10C8E907FC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4856559"/>
        <c:axId val="1854848879"/>
      </c:barChart>
      <c:catAx>
        <c:axId val="1854856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property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48879"/>
        <c:crosses val="autoZero"/>
        <c:auto val="1"/>
        <c:lblAlgn val="ctr"/>
        <c:lblOffset val="100"/>
        <c:noMultiLvlLbl val="0"/>
      </c:catAx>
      <c:valAx>
        <c:axId val="18548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5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[Real_Estate_Data_Management.xlsx]Pivot Tables!PivotTable2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Tables'!$A$3:$A$4</c:f>
              <c:strCache>
                <c:ptCount val="1"/>
                <c:pt idx="0">
                  <c:v>San Francisco</c:v>
                </c:pt>
              </c:strCache>
            </c:strRef>
          </c:cat>
          <c:val>
            <c:numRef>
              <c:f>'Pivot Tables'!$B$3:$B$4</c:f>
              <c:numCache>
                <c:formatCode>General</c:formatCode>
                <c:ptCount val="1"/>
                <c:pt idx="0">
                  <c:v>134095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A-4E9F-9902-4FFBF1F9CB2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01813551"/>
        <c:axId val="1901814031"/>
      </c:lineChart>
      <c:catAx>
        <c:axId val="1901813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14031"/>
        <c:crosses val="autoZero"/>
        <c:auto val="1"/>
        <c:lblAlgn val="ctr"/>
        <c:lblOffset val="100"/>
        <c:noMultiLvlLbl val="0"/>
      </c:catAx>
      <c:valAx>
        <c:axId val="19018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[Real_Estate_Data_Management.xlsx]Pivot Tables!PivotTable3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9A-4F6B-A0E5-F718975753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9A-4F6B-A0E5-F718975753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Tables'!$A$14:$A$16</c:f>
              <c:strCache>
                <c:ptCount val="2"/>
                <c:pt idx="0">
                  <c:v>Available</c:v>
                </c:pt>
                <c:pt idx="1">
                  <c:v>Occupied</c:v>
                </c:pt>
              </c:strCache>
            </c:strRef>
          </c:cat>
          <c:val>
            <c:numRef>
              <c:f>'Pivot Tables'!$B$14:$B$16</c:f>
              <c:numCache>
                <c:formatCode>General</c:formatCode>
                <c:ptCount val="2"/>
                <c:pt idx="0">
                  <c:v>44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9A-4F6B-A0E5-F718975753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9</xdr:row>
      <xdr:rowOff>22860</xdr:rowOff>
    </xdr:from>
    <xdr:to>
      <xdr:col>5</xdr:col>
      <xdr:colOff>1082040</xdr:colOff>
      <xdr:row>24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4F7BCB-F292-4CDC-BBAB-65031592F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60960</xdr:colOff>
      <xdr:row>9</xdr:row>
      <xdr:rowOff>121920</xdr:rowOff>
    </xdr:from>
    <xdr:to>
      <xdr:col>13</xdr:col>
      <xdr:colOff>579120</xdr:colOff>
      <xdr:row>24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4F71AA5-D239-492E-AE76-C72E70893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83820</xdr:colOff>
      <xdr:row>8</xdr:row>
      <xdr:rowOff>175260</xdr:rowOff>
    </xdr:from>
    <xdr:to>
      <xdr:col>3</xdr:col>
      <xdr:colOff>205740</xdr:colOff>
      <xdr:row>23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4F379E-A4FF-4E7D-9EFF-78315919C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 binish" refreshedDate="46009.57460428241" createdVersion="8" refreshedVersion="8" minRefreshableVersion="3" recordCount="100" xr:uid="{76B7DBEE-00D9-4CE0-8DE0-0BABB5603328}">
  <cacheSource type="worksheet">
    <worksheetSource ref="A1:I101" sheet="Transactions"/>
  </cacheSource>
  <cacheFields count="8">
    <cacheField name="Transaction_ID" numFmtId="0">
      <sharedItems/>
    </cacheField>
    <cacheField name="Property_ID" numFmtId="0">
      <sharedItems/>
    </cacheField>
    <cacheField name="Client_ID" numFmtId="0">
      <sharedItems/>
    </cacheField>
    <cacheField name="Transaction_Date" numFmtId="164">
      <sharedItems containsSemiMixedTypes="0" containsNonDate="0" containsDate="1" containsString="0" minDate="2022-01-10T00:00:00" maxDate="2024-06-20T00:00:00"/>
    </cacheField>
    <cacheField name="Rent_Value" numFmtId="0">
      <sharedItems containsSemiMixedTypes="0" containsString="0" containsNumber="1" containsInteger="1" minValue="879" maxValue="7915"/>
    </cacheField>
    <cacheField name="Contract_Duration_Months" numFmtId="0">
      <sharedItems containsSemiMixedTypes="0" containsString="0" containsNumber="1" containsInteger="1" minValue="6" maxValue="36"/>
    </cacheField>
    <cacheField name="Client_Name" numFmtId="0">
      <sharedItems/>
    </cacheField>
    <cacheField name="City" numFmtId="0">
      <sharedItems count="7">
        <s v="San Francisco"/>
        <s v="Chicago"/>
        <s v="Houston"/>
        <s v="Phoenix"/>
        <s v="New York"/>
        <s v="Boston"/>
        <s v="Los Angeles"/>
      </sharedItems>
    </cacheField>
  </cacheFields>
  <extLst>
    <ext xmlns:x14="http://schemas.microsoft.com/office/spreadsheetml/2009/9/main" uri="{725AE2AE-9491-48be-B2B4-4EB974FC3084}">
      <x14:pivotCacheDefinition pivotCacheId="192714110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 binish" refreshedDate="46009.575514930555" createdVersion="8" refreshedVersion="8" minRefreshableVersion="3" recordCount="100" xr:uid="{7AD573AD-73B3-44CC-AB2A-701224CE01C4}">
  <cacheSource type="worksheet">
    <worksheetSource name="Properties"/>
  </cacheSource>
  <cacheFields count="9">
    <cacheField name="Property_ID" numFmtId="0">
      <sharedItems/>
    </cacheField>
    <cacheField name="Landlord_ID" numFmtId="0">
      <sharedItems/>
    </cacheField>
    <cacheField name="Property_Type" numFmtId="0">
      <sharedItems/>
    </cacheField>
    <cacheField name="Area_sqft" numFmtId="0">
      <sharedItems containsSemiMixedTypes="0" containsString="0" containsNumber="1" containsInteger="1" minValue="525" maxValue="4799"/>
    </cacheField>
    <cacheField name="Location" numFmtId="0">
      <sharedItems/>
    </cacheField>
    <cacheField name="Monthly_Rent" numFmtId="0">
      <sharedItems containsSemiMixedTypes="0" containsString="0" containsNumber="1" containsInteger="1" minValue="844" maxValue="7953"/>
    </cacheField>
    <cacheField name="Property_Status" numFmtId="0">
      <sharedItems count="2">
        <s v="Occupied"/>
        <s v="Available"/>
      </sharedItems>
    </cacheField>
    <cacheField name="Landlord_Name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 pivotCacheId="12397036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 binish" refreshedDate="46009.583637962962" createdVersion="8" refreshedVersion="8" minRefreshableVersion="3" recordCount="100" xr:uid="{40E21493-2225-4739-A23D-3C23A1565308}">
  <cacheSource type="worksheet">
    <worksheetSource ref="A1:J101" sheet="Transactions"/>
  </cacheSource>
  <cacheFields count="9">
    <cacheField name="Transaction_ID" numFmtId="0">
      <sharedItems/>
    </cacheField>
    <cacheField name="Property_ID" numFmtId="0">
      <sharedItems/>
    </cacheField>
    <cacheField name="Client_ID" numFmtId="0">
      <sharedItems/>
    </cacheField>
    <cacheField name="Transaction_Date" numFmtId="164">
      <sharedItems containsSemiMixedTypes="0" containsNonDate="0" containsDate="1" containsString="0" minDate="2022-01-10T00:00:00" maxDate="2024-06-20T00:00:00"/>
    </cacheField>
    <cacheField name="Rent_Value" numFmtId="0">
      <sharedItems containsSemiMixedTypes="0" containsString="0" containsNumber="1" containsInteger="1" minValue="879" maxValue="7915"/>
    </cacheField>
    <cacheField name="Contract_Duration_Months" numFmtId="0">
      <sharedItems containsSemiMixedTypes="0" containsString="0" containsNumber="1" containsInteger="1" minValue="6" maxValue="36"/>
    </cacheField>
    <cacheField name="Client_Name" numFmtId="0">
      <sharedItems/>
    </cacheField>
    <cacheField name="City" numFmtId="0">
      <sharedItems/>
    </cacheField>
    <cacheField name="Property_Type" numFmtId="0">
      <sharedItems count="2">
        <s v="Residential"/>
        <s v="Commercial"/>
      </sharedItems>
    </cacheField>
  </cacheFields>
  <extLst>
    <ext xmlns:x14="http://schemas.microsoft.com/office/spreadsheetml/2009/9/main" uri="{725AE2AE-9491-48be-B2B4-4EB974FC3084}">
      <x14:pivotCacheDefinition pivotCacheId="1706349796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ga binish" refreshedDate="46009.58612083333" createdVersion="8" refreshedVersion="8" minRefreshableVersion="3" recordCount="100" xr:uid="{6DD6B8C9-B3D6-44BB-AE59-A1C26994B106}">
  <cacheSource type="worksheet">
    <worksheetSource ref="A1:J101" sheet="Transactions"/>
  </cacheSource>
  <cacheFields count="10">
    <cacheField name="Transaction_ID" numFmtId="0">
      <sharedItems/>
    </cacheField>
    <cacheField name="Property_ID" numFmtId="0">
      <sharedItems/>
    </cacheField>
    <cacheField name="Client_ID" numFmtId="0">
      <sharedItems/>
    </cacheField>
    <cacheField name="Transaction_Date" numFmtId="164">
      <sharedItems containsSemiMixedTypes="0" containsNonDate="0" containsDate="1" containsString="0" minDate="2022-01-10T00:00:00" maxDate="2024-06-20T00:00:00"/>
    </cacheField>
    <cacheField name="Rent_Value" numFmtId="0">
      <sharedItems containsSemiMixedTypes="0" containsString="0" containsNumber="1" containsInteger="1" minValue="879" maxValue="7915" count="99">
        <n v="3640"/>
        <n v="6163"/>
        <n v="2443"/>
        <n v="4949"/>
        <n v="6791"/>
        <n v="1474"/>
        <n v="3971"/>
        <n v="7206"/>
        <n v="5854"/>
        <n v="5491"/>
        <n v="3046"/>
        <n v="2094"/>
        <n v="6184"/>
        <n v="1075"/>
        <n v="5511"/>
        <n v="6847"/>
        <n v="3813"/>
        <n v="879"/>
        <n v="4712"/>
        <n v="6118"/>
        <n v="2999"/>
        <n v="987"/>
        <n v="4284"/>
        <n v="5425"/>
        <n v="6697"/>
        <n v="5660"/>
        <n v="5264"/>
        <n v="2382"/>
        <n v="2674"/>
        <n v="6017"/>
        <n v="4877"/>
        <n v="7910"/>
        <n v="7139"/>
        <n v="3103"/>
        <n v="5441"/>
        <n v="1389"/>
        <n v="2809"/>
        <n v="3766"/>
        <n v="7511"/>
        <n v="4871"/>
        <n v="3883"/>
        <n v="6378"/>
        <n v="4743"/>
        <n v="1108"/>
        <n v="3533"/>
        <n v="2214"/>
        <n v="1846"/>
        <n v="2664"/>
        <n v="4372"/>
        <n v="4827"/>
        <n v="1040"/>
        <n v="2074"/>
        <n v="4660"/>
        <n v="1051"/>
        <n v="3402"/>
        <n v="4147"/>
        <n v="4157"/>
        <n v="2925"/>
        <n v="7747"/>
        <n v="7496"/>
        <n v="7050"/>
        <n v="993"/>
        <n v="6322"/>
        <n v="2784"/>
        <n v="6141"/>
        <n v="7915"/>
        <n v="4706"/>
        <n v="4858"/>
        <n v="6557"/>
        <n v="2528"/>
        <n v="3695"/>
        <n v="4609"/>
        <n v="4261"/>
        <n v="3775"/>
        <n v="5880"/>
        <n v="3101"/>
        <n v="963"/>
        <n v="6180"/>
        <n v="6703"/>
        <n v="6450"/>
        <n v="1086"/>
        <n v="4721"/>
        <n v="3957"/>
        <n v="6431"/>
        <n v="1070"/>
        <n v="5662"/>
        <n v="2484"/>
        <n v="7644"/>
        <n v="2767"/>
        <n v="6882"/>
        <n v="5928"/>
        <n v="2475"/>
        <n v="6611"/>
        <n v="6129"/>
        <n v="2194"/>
        <n v="3353"/>
        <n v="6758"/>
        <n v="7885"/>
        <n v="4597"/>
      </sharedItems>
    </cacheField>
    <cacheField name="Contract_Duration_Months" numFmtId="0">
      <sharedItems containsSemiMixedTypes="0" containsString="0" containsNumber="1" containsInteger="1" minValue="6" maxValue="36"/>
    </cacheField>
    <cacheField name="Client_Name" numFmtId="0">
      <sharedItems/>
    </cacheField>
    <cacheField name="City" numFmtId="0">
      <sharedItems/>
    </cacheField>
    <cacheField name="Property_Type" numFmtId="0">
      <sharedItems/>
    </cacheField>
    <cacheField name="Landlord_Name" numFmtId="0">
      <sharedItems count="26">
        <s v="Landlord_1"/>
        <s v="Landlord_19"/>
        <s v="Landlord_18"/>
        <s v="Landlord_25"/>
        <s v="Landlord_8"/>
        <s v="Landlord_11"/>
        <s v="Landlord_26"/>
        <s v="Landlord_2"/>
        <s v="Landlord_24"/>
        <s v="Landlord_29"/>
        <s v="Landlord_6"/>
        <s v="Landlord_13"/>
        <s v="Landlord_15"/>
        <s v="Landlord_21"/>
        <s v="Landlord_10"/>
        <s v="Landlord_14"/>
        <s v="Landlord_20"/>
        <s v="Landlord_28"/>
        <s v="Landlord_3"/>
        <s v="Landlord_12"/>
        <s v="Landlord_5"/>
        <s v="Landlord_7"/>
        <s v="Landlord_9"/>
        <s v="Landlord_17"/>
        <s v="Landlord_4"/>
        <s v="Landlord_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P0089"/>
    <s v="C0021"/>
    <d v="2022-08-16T00:00:00"/>
    <n v="3640"/>
    <n v="6"/>
    <s v="Client_21"/>
    <x v="0"/>
  </r>
  <r>
    <s v="T0002"/>
    <s v="P0013"/>
    <s v="C0016"/>
    <d v="2024-04-20T00:00:00"/>
    <n v="6163"/>
    <n v="6"/>
    <s v="Client_16"/>
    <x v="1"/>
  </r>
  <r>
    <s v="T0003"/>
    <s v="P0032"/>
    <s v="C0057"/>
    <d v="2022-01-25T00:00:00"/>
    <n v="2443"/>
    <n v="6"/>
    <s v="Client_57"/>
    <x v="1"/>
  </r>
  <r>
    <s v="T0004"/>
    <s v="P0082"/>
    <s v="C0041"/>
    <d v="2022-06-25T00:00:00"/>
    <n v="4949"/>
    <n v="36"/>
    <s v="Client_41"/>
    <x v="0"/>
  </r>
  <r>
    <s v="T0005"/>
    <s v="P0057"/>
    <s v="C0079"/>
    <d v="2023-09-07T00:00:00"/>
    <n v="6791"/>
    <n v="18"/>
    <s v="Client_79"/>
    <x v="2"/>
  </r>
  <r>
    <s v="T0006"/>
    <s v="P0003"/>
    <s v="C0068"/>
    <d v="2024-03-02T00:00:00"/>
    <n v="1474"/>
    <n v="6"/>
    <s v="Client_68"/>
    <x v="3"/>
  </r>
  <r>
    <s v="T0007"/>
    <s v="P0049"/>
    <s v="C0031"/>
    <d v="2024-06-19T00:00:00"/>
    <n v="3971"/>
    <n v="12"/>
    <s v="Client_31"/>
    <x v="2"/>
  </r>
  <r>
    <s v="T0008"/>
    <s v="P0093"/>
    <s v="C0092"/>
    <d v="2022-12-25T00:00:00"/>
    <n v="7206"/>
    <n v="36"/>
    <s v="Client_92"/>
    <x v="4"/>
  </r>
  <r>
    <s v="T0009"/>
    <s v="P0025"/>
    <s v="C0089"/>
    <d v="2023-06-27T00:00:00"/>
    <n v="5854"/>
    <n v="18"/>
    <s v="Client_89"/>
    <x v="5"/>
  </r>
  <r>
    <s v="T0010"/>
    <s v="P0027"/>
    <s v="C0058"/>
    <d v="2023-03-16T00:00:00"/>
    <n v="5491"/>
    <n v="18"/>
    <s v="Client_58"/>
    <x v="0"/>
  </r>
  <r>
    <s v="T0011"/>
    <s v="P0048"/>
    <s v="C0026"/>
    <d v="2024-05-02T00:00:00"/>
    <n v="3046"/>
    <n v="6"/>
    <s v="Client_26"/>
    <x v="2"/>
  </r>
  <r>
    <s v="T0012"/>
    <s v="P0083"/>
    <s v="C0059"/>
    <d v="2022-02-18T00:00:00"/>
    <n v="2094"/>
    <n v="36"/>
    <s v="Client_59"/>
    <x v="4"/>
  </r>
  <r>
    <s v="T0013"/>
    <s v="P0078"/>
    <s v="C0063"/>
    <d v="2023-11-10T00:00:00"/>
    <n v="6184"/>
    <n v="36"/>
    <s v="Client_63"/>
    <x v="0"/>
  </r>
  <r>
    <s v="T0014"/>
    <s v="P0095"/>
    <s v="C0096"/>
    <d v="2022-08-23T00:00:00"/>
    <n v="1075"/>
    <n v="18"/>
    <s v="Client_96"/>
    <x v="3"/>
  </r>
  <r>
    <s v="T0015"/>
    <s v="P0034"/>
    <s v="C0042"/>
    <d v="2023-05-29T00:00:00"/>
    <n v="5511"/>
    <n v="12"/>
    <s v="Client_42"/>
    <x v="0"/>
  </r>
  <r>
    <s v="T0016"/>
    <s v="P0019"/>
    <s v="C0050"/>
    <d v="2023-06-07T00:00:00"/>
    <n v="6847"/>
    <n v="24"/>
    <s v="Client_50"/>
    <x v="2"/>
  </r>
  <r>
    <s v="T0017"/>
    <s v="P0007"/>
    <s v="C0035"/>
    <d v="2023-03-07T00:00:00"/>
    <n v="3813"/>
    <n v="36"/>
    <s v="Client_35"/>
    <x v="2"/>
  </r>
  <r>
    <s v="T0018"/>
    <s v="P0094"/>
    <s v="C0003"/>
    <d v="2023-07-22T00:00:00"/>
    <n v="879"/>
    <n v="12"/>
    <s v="Client_3"/>
    <x v="4"/>
  </r>
  <r>
    <s v="T0019"/>
    <s v="P0036"/>
    <s v="C0005"/>
    <d v="2022-08-25T00:00:00"/>
    <n v="4712"/>
    <n v="6"/>
    <s v="Client_5"/>
    <x v="4"/>
  </r>
  <r>
    <s v="T0020"/>
    <s v="P0055"/>
    <s v="C0079"/>
    <d v="2023-12-06T00:00:00"/>
    <n v="6118"/>
    <n v="36"/>
    <s v="Client_79"/>
    <x v="3"/>
  </r>
  <r>
    <s v="T0021"/>
    <s v="P0003"/>
    <s v="C0017"/>
    <d v="2022-07-25T00:00:00"/>
    <n v="2999"/>
    <n v="36"/>
    <s v="Client_17"/>
    <x v="3"/>
  </r>
  <r>
    <s v="T0022"/>
    <s v="P0068"/>
    <s v="C0016"/>
    <d v="2023-08-06T00:00:00"/>
    <n v="987"/>
    <n v="6"/>
    <s v="Client_16"/>
    <x v="2"/>
  </r>
  <r>
    <s v="T0023"/>
    <s v="P0052"/>
    <s v="C0063"/>
    <d v="2022-03-22T00:00:00"/>
    <n v="4284"/>
    <n v="6"/>
    <s v="Client_63"/>
    <x v="2"/>
  </r>
  <r>
    <s v="T0024"/>
    <s v="P0095"/>
    <s v="C0005"/>
    <d v="2023-07-03T00:00:00"/>
    <n v="5425"/>
    <n v="36"/>
    <s v="Client_5"/>
    <x v="3"/>
  </r>
  <r>
    <s v="T0025"/>
    <s v="P0013"/>
    <s v="C0014"/>
    <d v="2024-04-08T00:00:00"/>
    <n v="6697"/>
    <n v="6"/>
    <s v="Client_14"/>
    <x v="1"/>
  </r>
  <r>
    <s v="T0026"/>
    <s v="P0050"/>
    <s v="C0080"/>
    <d v="2023-12-03T00:00:00"/>
    <n v="5660"/>
    <n v="6"/>
    <s v="Client_80"/>
    <x v="0"/>
  </r>
  <r>
    <s v="T0027"/>
    <s v="P0063"/>
    <s v="C0063"/>
    <d v="2023-02-07T00:00:00"/>
    <n v="5264"/>
    <n v="6"/>
    <s v="Client_63"/>
    <x v="4"/>
  </r>
  <r>
    <s v="T0028"/>
    <s v="P0084"/>
    <s v="C0065"/>
    <d v="2022-05-24T00:00:00"/>
    <n v="2382"/>
    <n v="24"/>
    <s v="Client_65"/>
    <x v="2"/>
  </r>
  <r>
    <s v="T0029"/>
    <s v="P0035"/>
    <s v="C0012"/>
    <d v="2024-06-07T00:00:00"/>
    <n v="2674"/>
    <n v="12"/>
    <s v="Client_12"/>
    <x v="3"/>
  </r>
  <r>
    <s v="T0030"/>
    <s v="P0066"/>
    <s v="C0088"/>
    <d v="2023-09-10T00:00:00"/>
    <n v="6017"/>
    <n v="6"/>
    <s v="Client_88"/>
    <x v="0"/>
  </r>
  <r>
    <s v="T0031"/>
    <s v="P0004"/>
    <s v="C0016"/>
    <d v="2024-03-07T00:00:00"/>
    <n v="4877"/>
    <n v="36"/>
    <s v="Client_16"/>
    <x v="0"/>
  </r>
  <r>
    <s v="T0032"/>
    <s v="P0077"/>
    <s v="C0100"/>
    <d v="2024-03-06T00:00:00"/>
    <n v="7910"/>
    <n v="36"/>
    <s v="Client_100"/>
    <x v="0"/>
  </r>
  <r>
    <s v="T0033"/>
    <s v="P0015"/>
    <s v="C0090"/>
    <d v="2022-08-29T00:00:00"/>
    <n v="7139"/>
    <n v="12"/>
    <s v="Client_90"/>
    <x v="0"/>
  </r>
  <r>
    <s v="T0034"/>
    <s v="P0098"/>
    <s v="C0062"/>
    <d v="2023-01-01T00:00:00"/>
    <n v="3103"/>
    <n v="6"/>
    <s v="Client_62"/>
    <x v="3"/>
  </r>
  <r>
    <s v="T0035"/>
    <s v="P0014"/>
    <s v="C0048"/>
    <d v="2022-08-19T00:00:00"/>
    <n v="5441"/>
    <n v="36"/>
    <s v="Client_48"/>
    <x v="3"/>
  </r>
  <r>
    <s v="T0036"/>
    <s v="P0070"/>
    <s v="C0076"/>
    <d v="2022-01-25T00:00:00"/>
    <n v="1389"/>
    <n v="18"/>
    <s v="Client_76"/>
    <x v="5"/>
  </r>
  <r>
    <s v="T0037"/>
    <s v="P0082"/>
    <s v="C0015"/>
    <d v="2023-01-06T00:00:00"/>
    <n v="2809"/>
    <n v="12"/>
    <s v="Client_15"/>
    <x v="0"/>
  </r>
  <r>
    <s v="T0038"/>
    <s v="P0073"/>
    <s v="C0015"/>
    <d v="2023-03-28T00:00:00"/>
    <n v="3766"/>
    <n v="12"/>
    <s v="Client_15"/>
    <x v="6"/>
  </r>
  <r>
    <s v="T0039"/>
    <s v="P0073"/>
    <s v="C0027"/>
    <d v="2022-12-04T00:00:00"/>
    <n v="7511"/>
    <n v="12"/>
    <s v="Client_27"/>
    <x v="6"/>
  </r>
  <r>
    <s v="T0040"/>
    <s v="P0022"/>
    <s v="C0076"/>
    <d v="2023-02-16T00:00:00"/>
    <n v="4871"/>
    <n v="36"/>
    <s v="Client_76"/>
    <x v="1"/>
  </r>
  <r>
    <s v="T0041"/>
    <s v="P0034"/>
    <s v="C0017"/>
    <d v="2023-07-27T00:00:00"/>
    <n v="3883"/>
    <n v="18"/>
    <s v="Client_17"/>
    <x v="0"/>
  </r>
  <r>
    <s v="T0042"/>
    <s v="P0048"/>
    <s v="C0016"/>
    <d v="2022-07-02T00:00:00"/>
    <n v="6378"/>
    <n v="18"/>
    <s v="Client_16"/>
    <x v="2"/>
  </r>
  <r>
    <s v="T0043"/>
    <s v="P0084"/>
    <s v="C0060"/>
    <d v="2023-10-30T00:00:00"/>
    <n v="4743"/>
    <n v="36"/>
    <s v="Client_60"/>
    <x v="2"/>
  </r>
  <r>
    <s v="T0044"/>
    <s v="P0032"/>
    <s v="C0016"/>
    <d v="2022-12-08T00:00:00"/>
    <n v="1108"/>
    <n v="24"/>
    <s v="Client_16"/>
    <x v="1"/>
  </r>
  <r>
    <s v="T0045"/>
    <s v="P0040"/>
    <s v="C0020"/>
    <d v="2022-04-07T00:00:00"/>
    <n v="3533"/>
    <n v="12"/>
    <s v="Client_20"/>
    <x v="0"/>
  </r>
  <r>
    <s v="T0046"/>
    <s v="P0012"/>
    <s v="C0070"/>
    <d v="2024-03-30T00:00:00"/>
    <n v="2214"/>
    <n v="36"/>
    <s v="Client_70"/>
    <x v="0"/>
  </r>
  <r>
    <s v="T0047"/>
    <s v="P0005"/>
    <s v="C0036"/>
    <d v="2023-12-04T00:00:00"/>
    <n v="1846"/>
    <n v="18"/>
    <s v="Client_36"/>
    <x v="4"/>
  </r>
  <r>
    <s v="T0048"/>
    <s v="P0073"/>
    <s v="C0044"/>
    <d v="2022-09-29T00:00:00"/>
    <n v="2664"/>
    <n v="36"/>
    <s v="Client_44"/>
    <x v="6"/>
  </r>
  <r>
    <s v="T0049"/>
    <s v="P0090"/>
    <s v="C0057"/>
    <d v="2022-10-01T00:00:00"/>
    <n v="4372"/>
    <n v="18"/>
    <s v="Client_57"/>
    <x v="2"/>
  </r>
  <r>
    <s v="T0050"/>
    <s v="P0089"/>
    <s v="C0073"/>
    <d v="2022-01-10T00:00:00"/>
    <n v="4827"/>
    <n v="24"/>
    <s v="Client_73"/>
    <x v="0"/>
  </r>
  <r>
    <s v="T0051"/>
    <s v="P0049"/>
    <s v="C0004"/>
    <d v="2022-03-21T00:00:00"/>
    <n v="1040"/>
    <n v="6"/>
    <s v="Client_4"/>
    <x v="2"/>
  </r>
  <r>
    <s v="T0052"/>
    <s v="P0021"/>
    <s v="C0053"/>
    <d v="2022-06-13T00:00:00"/>
    <n v="2074"/>
    <n v="18"/>
    <s v="Client_53"/>
    <x v="3"/>
  </r>
  <r>
    <s v="T0053"/>
    <s v="P0077"/>
    <s v="C0020"/>
    <d v="2022-01-16T00:00:00"/>
    <n v="4660"/>
    <n v="12"/>
    <s v="Client_20"/>
    <x v="0"/>
  </r>
  <r>
    <s v="T0054"/>
    <s v="P0067"/>
    <s v="C0098"/>
    <d v="2023-12-24T00:00:00"/>
    <n v="1051"/>
    <n v="36"/>
    <s v="Client_98"/>
    <x v="2"/>
  </r>
  <r>
    <s v="T0055"/>
    <s v="P0067"/>
    <s v="C0032"/>
    <d v="2023-10-25T00:00:00"/>
    <n v="3402"/>
    <n v="12"/>
    <s v="Client_32"/>
    <x v="2"/>
  </r>
  <r>
    <s v="T0056"/>
    <s v="P0043"/>
    <s v="C0055"/>
    <d v="2022-03-12T00:00:00"/>
    <n v="4147"/>
    <n v="6"/>
    <s v="Client_55"/>
    <x v="0"/>
  </r>
  <r>
    <s v="T0057"/>
    <s v="P0019"/>
    <s v="C0082"/>
    <d v="2022-05-28T00:00:00"/>
    <n v="4157"/>
    <n v="6"/>
    <s v="Client_82"/>
    <x v="2"/>
  </r>
  <r>
    <s v="T0058"/>
    <s v="P0084"/>
    <s v="C0061"/>
    <d v="2022-06-30T00:00:00"/>
    <n v="2925"/>
    <n v="24"/>
    <s v="Client_61"/>
    <x v="2"/>
  </r>
  <r>
    <s v="T0059"/>
    <s v="P0022"/>
    <s v="C0062"/>
    <d v="2022-09-13T00:00:00"/>
    <n v="7747"/>
    <n v="18"/>
    <s v="Client_62"/>
    <x v="1"/>
  </r>
  <r>
    <s v="T0060"/>
    <s v="P0092"/>
    <s v="C0069"/>
    <d v="2022-06-10T00:00:00"/>
    <n v="7496"/>
    <n v="24"/>
    <s v="Client_69"/>
    <x v="1"/>
  </r>
  <r>
    <s v="T0061"/>
    <s v="P0013"/>
    <s v="C0039"/>
    <d v="2022-05-25T00:00:00"/>
    <n v="7050"/>
    <n v="24"/>
    <s v="Client_39"/>
    <x v="1"/>
  </r>
  <r>
    <s v="T0062"/>
    <s v="P0022"/>
    <s v="C0069"/>
    <d v="2024-02-18T00:00:00"/>
    <n v="993"/>
    <n v="36"/>
    <s v="Client_69"/>
    <x v="1"/>
  </r>
  <r>
    <s v="T0063"/>
    <s v="P0081"/>
    <s v="C0095"/>
    <d v="2022-09-24T00:00:00"/>
    <n v="6322"/>
    <n v="6"/>
    <s v="Client_95"/>
    <x v="4"/>
  </r>
  <r>
    <s v="T0064"/>
    <s v="P0053"/>
    <s v="C0097"/>
    <d v="2023-01-10T00:00:00"/>
    <n v="3046"/>
    <n v="24"/>
    <s v="Client_97"/>
    <x v="6"/>
  </r>
  <r>
    <s v="T0065"/>
    <s v="P0065"/>
    <s v="C0019"/>
    <d v="2022-11-29T00:00:00"/>
    <n v="2784"/>
    <n v="6"/>
    <s v="Client_19"/>
    <x v="2"/>
  </r>
  <r>
    <s v="T0066"/>
    <s v="P0013"/>
    <s v="C0031"/>
    <d v="2023-09-22T00:00:00"/>
    <n v="6141"/>
    <n v="36"/>
    <s v="Client_31"/>
    <x v="1"/>
  </r>
  <r>
    <s v="T0067"/>
    <s v="P0061"/>
    <s v="C0026"/>
    <d v="2022-11-13T00:00:00"/>
    <n v="7915"/>
    <n v="12"/>
    <s v="Client_26"/>
    <x v="2"/>
  </r>
  <r>
    <s v="T0068"/>
    <s v="P0066"/>
    <s v="C0008"/>
    <d v="2022-03-04T00:00:00"/>
    <n v="4706"/>
    <n v="6"/>
    <s v="Client_8"/>
    <x v="0"/>
  </r>
  <r>
    <s v="T0069"/>
    <s v="P0088"/>
    <s v="C0080"/>
    <d v="2024-05-29T00:00:00"/>
    <n v="4858"/>
    <n v="36"/>
    <s v="Client_80"/>
    <x v="2"/>
  </r>
  <r>
    <s v="T0070"/>
    <s v="P0035"/>
    <s v="C0094"/>
    <d v="2023-12-07T00:00:00"/>
    <n v="6557"/>
    <n v="24"/>
    <s v="Client_94"/>
    <x v="3"/>
  </r>
  <r>
    <s v="T0071"/>
    <s v="P0077"/>
    <s v="C0016"/>
    <d v="2022-12-06T00:00:00"/>
    <n v="2528"/>
    <n v="24"/>
    <s v="Client_16"/>
    <x v="0"/>
  </r>
  <r>
    <s v="T0072"/>
    <s v="P0045"/>
    <s v="C0048"/>
    <d v="2024-05-12T00:00:00"/>
    <n v="3695"/>
    <n v="24"/>
    <s v="Client_48"/>
    <x v="4"/>
  </r>
  <r>
    <s v="T0073"/>
    <s v="P0029"/>
    <s v="C0069"/>
    <d v="2023-04-05T00:00:00"/>
    <n v="4609"/>
    <n v="36"/>
    <s v="Client_69"/>
    <x v="3"/>
  </r>
  <r>
    <s v="T0074"/>
    <s v="P0027"/>
    <s v="C0062"/>
    <d v="2022-11-15T00:00:00"/>
    <n v="4261"/>
    <n v="36"/>
    <s v="Client_62"/>
    <x v="0"/>
  </r>
  <r>
    <s v="T0075"/>
    <s v="P0093"/>
    <s v="C0018"/>
    <d v="2024-01-06T00:00:00"/>
    <n v="3775"/>
    <n v="36"/>
    <s v="Client_18"/>
    <x v="4"/>
  </r>
  <r>
    <s v="T0076"/>
    <s v="P0043"/>
    <s v="C0070"/>
    <d v="2024-01-06T00:00:00"/>
    <n v="5880"/>
    <n v="36"/>
    <s v="Client_70"/>
    <x v="0"/>
  </r>
  <r>
    <s v="T0077"/>
    <s v="P0040"/>
    <s v="C0029"/>
    <d v="2023-05-26T00:00:00"/>
    <n v="3101"/>
    <n v="18"/>
    <s v="Client_29"/>
    <x v="0"/>
  </r>
  <r>
    <s v="T0078"/>
    <s v="P0027"/>
    <s v="C0085"/>
    <d v="2022-12-07T00:00:00"/>
    <n v="963"/>
    <n v="18"/>
    <s v="Client_85"/>
    <x v="0"/>
  </r>
  <r>
    <s v="T0079"/>
    <s v="P0018"/>
    <s v="C0001"/>
    <d v="2022-04-22T00:00:00"/>
    <n v="6180"/>
    <n v="36"/>
    <s v="Client_1"/>
    <x v="4"/>
  </r>
  <r>
    <s v="T0080"/>
    <s v="P0072"/>
    <s v="C0048"/>
    <d v="2022-05-28T00:00:00"/>
    <n v="6703"/>
    <n v="6"/>
    <s v="Client_48"/>
    <x v="3"/>
  </r>
  <r>
    <s v="T0081"/>
    <s v="P0068"/>
    <s v="C0076"/>
    <d v="2023-07-21T00:00:00"/>
    <n v="6450"/>
    <n v="36"/>
    <s v="Client_76"/>
    <x v="2"/>
  </r>
  <r>
    <s v="T0082"/>
    <s v="P0045"/>
    <s v="C0052"/>
    <d v="2023-06-19T00:00:00"/>
    <n v="1086"/>
    <n v="18"/>
    <s v="Client_52"/>
    <x v="4"/>
  </r>
  <r>
    <s v="T0083"/>
    <s v="P0019"/>
    <s v="C0082"/>
    <d v="2022-07-12T00:00:00"/>
    <n v="4721"/>
    <n v="12"/>
    <s v="Client_82"/>
    <x v="2"/>
  </r>
  <r>
    <s v="T0084"/>
    <s v="P0043"/>
    <s v="C0078"/>
    <d v="2023-05-31T00:00:00"/>
    <n v="3957"/>
    <n v="18"/>
    <s v="Client_78"/>
    <x v="0"/>
  </r>
  <r>
    <s v="T0085"/>
    <s v="P0071"/>
    <s v="C0097"/>
    <d v="2023-03-19T00:00:00"/>
    <n v="6431"/>
    <n v="24"/>
    <s v="Client_97"/>
    <x v="4"/>
  </r>
  <r>
    <s v="T0086"/>
    <s v="P0074"/>
    <s v="C0015"/>
    <d v="2022-01-24T00:00:00"/>
    <n v="1070"/>
    <n v="12"/>
    <s v="Client_15"/>
    <x v="5"/>
  </r>
  <r>
    <s v="T0087"/>
    <s v="P0031"/>
    <s v="C0077"/>
    <d v="2022-04-14T00:00:00"/>
    <n v="5662"/>
    <n v="24"/>
    <s v="Client_77"/>
    <x v="2"/>
  </r>
  <r>
    <s v="T0088"/>
    <s v="P0010"/>
    <s v="C0067"/>
    <d v="2022-11-15T00:00:00"/>
    <n v="2484"/>
    <n v="12"/>
    <s v="Client_67"/>
    <x v="2"/>
  </r>
  <r>
    <s v="T0089"/>
    <s v="P0039"/>
    <s v="C0036"/>
    <d v="2022-09-07T00:00:00"/>
    <n v="7644"/>
    <n v="24"/>
    <s v="Client_36"/>
    <x v="0"/>
  </r>
  <r>
    <s v="T0090"/>
    <s v="P0099"/>
    <s v="C0038"/>
    <d v="2022-05-29T00:00:00"/>
    <n v="2767"/>
    <n v="18"/>
    <s v="Client_38"/>
    <x v="1"/>
  </r>
  <r>
    <s v="T0091"/>
    <s v="P0022"/>
    <s v="C0032"/>
    <d v="2022-07-28T00:00:00"/>
    <n v="6882"/>
    <n v="6"/>
    <s v="Client_32"/>
    <x v="1"/>
  </r>
  <r>
    <s v="T0092"/>
    <s v="P0011"/>
    <s v="C0028"/>
    <d v="2022-04-30T00:00:00"/>
    <n v="5928"/>
    <n v="24"/>
    <s v="Client_28"/>
    <x v="0"/>
  </r>
  <r>
    <s v="T0093"/>
    <s v="P0035"/>
    <s v="C0078"/>
    <d v="2023-08-03T00:00:00"/>
    <n v="2475"/>
    <n v="24"/>
    <s v="Client_78"/>
    <x v="3"/>
  </r>
  <r>
    <s v="T0094"/>
    <s v="P0053"/>
    <s v="C0058"/>
    <d v="2024-06-08T00:00:00"/>
    <n v="6611"/>
    <n v="18"/>
    <s v="Client_58"/>
    <x v="6"/>
  </r>
  <r>
    <s v="T0095"/>
    <s v="P0077"/>
    <s v="C0094"/>
    <d v="2023-05-30T00:00:00"/>
    <n v="6129"/>
    <n v="18"/>
    <s v="Client_94"/>
    <x v="0"/>
  </r>
  <r>
    <s v="T0096"/>
    <s v="P0050"/>
    <s v="C0067"/>
    <d v="2023-05-25T00:00:00"/>
    <n v="2194"/>
    <n v="12"/>
    <s v="Client_67"/>
    <x v="0"/>
  </r>
  <r>
    <s v="T0097"/>
    <s v="P0040"/>
    <s v="C0097"/>
    <d v="2022-03-15T00:00:00"/>
    <n v="3353"/>
    <n v="6"/>
    <s v="Client_97"/>
    <x v="0"/>
  </r>
  <r>
    <s v="T0098"/>
    <s v="P0054"/>
    <s v="C0011"/>
    <d v="2023-02-16T00:00:00"/>
    <n v="6758"/>
    <n v="12"/>
    <s v="Client_11"/>
    <x v="4"/>
  </r>
  <r>
    <s v="T0099"/>
    <s v="P0088"/>
    <s v="C0038"/>
    <d v="2023-01-25T00:00:00"/>
    <n v="7885"/>
    <n v="36"/>
    <s v="Client_38"/>
    <x v="2"/>
  </r>
  <r>
    <s v="T0100"/>
    <s v="P0088"/>
    <s v="C0033"/>
    <d v="2022-06-05T00:00:00"/>
    <n v="4597"/>
    <n v="12"/>
    <s v="Client_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0001"/>
    <s v="L0018"/>
    <s v="Commercial"/>
    <n v="3280"/>
    <s v="Downtown"/>
    <n v="2250"/>
    <x v="0"/>
    <s v="Landlord_18"/>
    <s v="Chicago"/>
  </r>
  <r>
    <s v="P0002"/>
    <s v="L0018"/>
    <s v="Residential"/>
    <n v="2401"/>
    <s v="Downtown"/>
    <n v="953"/>
    <x v="1"/>
    <s v="Landlord_18"/>
    <s v="Chicago"/>
  </r>
  <r>
    <s v="P0003"/>
    <s v="L0011"/>
    <s v="Commercial"/>
    <n v="693"/>
    <s v="Downtown"/>
    <n v="7221"/>
    <x v="1"/>
    <s v="Landlord_11"/>
    <s v="Phoenix"/>
  </r>
  <r>
    <s v="P0004"/>
    <s v="L0013"/>
    <s v="Residential"/>
    <n v="1530"/>
    <s v="Business District"/>
    <n v="3547"/>
    <x v="0"/>
    <s v="Landlord_13"/>
    <s v="San Francisco"/>
  </r>
  <r>
    <s v="P0005"/>
    <s v="L0010"/>
    <s v="Commercial"/>
    <n v="2253"/>
    <s v="Business District"/>
    <n v="7373"/>
    <x v="1"/>
    <s v="Landlord_10"/>
    <s v="New York"/>
  </r>
  <r>
    <s v="P0006"/>
    <s v="L0027"/>
    <s v="Residential"/>
    <n v="4250"/>
    <s v="Suburb"/>
    <n v="7573"/>
    <x v="0"/>
    <s v="Landlord_27"/>
    <s v="Chicago"/>
  </r>
  <r>
    <s v="P0007"/>
    <s v="L0021"/>
    <s v="Residential"/>
    <n v="3097"/>
    <s v="Uptown"/>
    <n v="4999"/>
    <x v="1"/>
    <s v="Landlord_21"/>
    <s v="Houston"/>
  </r>
  <r>
    <s v="P0008"/>
    <s v="L0024"/>
    <s v="Commercial"/>
    <n v="1621"/>
    <s v="Business District"/>
    <n v="2128"/>
    <x v="0"/>
    <s v="Landlord_24"/>
    <s v="Boston"/>
  </r>
  <r>
    <s v="P0009"/>
    <s v="L0016"/>
    <s v="Commercial"/>
    <n v="1637"/>
    <s v="Uptown"/>
    <n v="3753"/>
    <x v="1"/>
    <s v="Landlord_16"/>
    <s v="Chicago"/>
  </r>
  <r>
    <s v="P0010"/>
    <s v="L0021"/>
    <s v="Commercial"/>
    <n v="1355"/>
    <s v="Business District"/>
    <n v="7448"/>
    <x v="0"/>
    <s v="Landlord_21"/>
    <s v="Houston"/>
  </r>
  <r>
    <s v="P0011"/>
    <s v="L0013"/>
    <s v="Residential"/>
    <n v="2976"/>
    <s v="Suburb"/>
    <n v="5391"/>
    <x v="0"/>
    <s v="Landlord_13"/>
    <s v="San Francisco"/>
  </r>
  <r>
    <s v="P0012"/>
    <s v="L0001"/>
    <s v="Commercial"/>
    <n v="4190"/>
    <s v="Suburb"/>
    <n v="6182"/>
    <x v="0"/>
    <s v="Landlord_1"/>
    <s v="San Francisco"/>
  </r>
  <r>
    <s v="P0013"/>
    <s v="L0019"/>
    <s v="Commercial"/>
    <n v="2868"/>
    <s v="Uptown"/>
    <n v="4221"/>
    <x v="1"/>
    <s v="Landlord_19"/>
    <s v="Chicago"/>
  </r>
  <r>
    <s v="P0014"/>
    <s v="L0005"/>
    <s v="Commercial"/>
    <n v="1565"/>
    <s v="Downtown"/>
    <n v="4527"/>
    <x v="0"/>
    <s v="Landlord_5"/>
    <s v="Phoenix"/>
  </r>
  <r>
    <s v="P0015"/>
    <s v="L0029"/>
    <s v="Commercial"/>
    <n v="953"/>
    <s v="Business District"/>
    <n v="5230"/>
    <x v="0"/>
    <s v="Landlord_29"/>
    <s v="San Francisco"/>
  </r>
  <r>
    <s v="P0016"/>
    <s v="L0008"/>
    <s v="Commercial"/>
    <n v="876"/>
    <s v="Business District"/>
    <n v="2473"/>
    <x v="0"/>
    <s v="Landlord_8"/>
    <s v="Houston"/>
  </r>
  <r>
    <s v="P0017"/>
    <s v="L0027"/>
    <s v="Commercial"/>
    <n v="4344"/>
    <s v="Business District"/>
    <n v="3094"/>
    <x v="1"/>
    <s v="Landlord_27"/>
    <s v="Chicago"/>
  </r>
  <r>
    <s v="P0018"/>
    <s v="L0028"/>
    <s v="Residential"/>
    <n v="3708"/>
    <s v="Downtown"/>
    <n v="6657"/>
    <x v="0"/>
    <s v="Landlord_28"/>
    <s v="New York"/>
  </r>
  <r>
    <s v="P0019"/>
    <s v="L0015"/>
    <s v="Residential"/>
    <n v="4799"/>
    <s v="Business District"/>
    <n v="2506"/>
    <x v="0"/>
    <s v="Landlord_15"/>
    <s v="Houston"/>
  </r>
  <r>
    <s v="P0020"/>
    <s v="L0006"/>
    <s v="Residential"/>
    <n v="1951"/>
    <s v="Uptown"/>
    <n v="3002"/>
    <x v="1"/>
    <s v="Landlord_6"/>
    <s v="Phoenix"/>
  </r>
  <r>
    <s v="P0021"/>
    <s v="L0005"/>
    <s v="Commercial"/>
    <n v="2966"/>
    <s v="Downtown"/>
    <n v="6364"/>
    <x v="1"/>
    <s v="Landlord_5"/>
    <s v="Phoenix"/>
  </r>
  <r>
    <s v="P0022"/>
    <s v="L0019"/>
    <s v="Residential"/>
    <n v="4668"/>
    <s v="Downtown"/>
    <n v="2346"/>
    <x v="1"/>
    <s v="Landlord_19"/>
    <s v="Chicago"/>
  </r>
  <r>
    <s v="P0023"/>
    <s v="L0027"/>
    <s v="Residential"/>
    <n v="2719"/>
    <s v="Business District"/>
    <n v="2404"/>
    <x v="1"/>
    <s v="Landlord_27"/>
    <s v="Chicago"/>
  </r>
  <r>
    <s v="P0024"/>
    <s v="L0001"/>
    <s v="Residential"/>
    <n v="2389"/>
    <s v="Uptown"/>
    <n v="4411"/>
    <x v="1"/>
    <s v="Landlord_1"/>
    <s v="San Francisco"/>
  </r>
  <r>
    <s v="P0025"/>
    <s v="L0024"/>
    <s v="Commercial"/>
    <n v="1935"/>
    <s v="Business District"/>
    <n v="2444"/>
    <x v="1"/>
    <s v="Landlord_24"/>
    <s v="Boston"/>
  </r>
  <r>
    <s v="P0026"/>
    <s v="L0014"/>
    <s v="Residential"/>
    <n v="1324"/>
    <s v="Suburb"/>
    <n v="6572"/>
    <x v="0"/>
    <s v="Landlord_14"/>
    <s v="New York"/>
  </r>
  <r>
    <s v="P0027"/>
    <s v="L0029"/>
    <s v="Residential"/>
    <n v="2509"/>
    <s v="Business District"/>
    <n v="3157"/>
    <x v="1"/>
    <s v="Landlord_29"/>
    <s v="San Francisco"/>
  </r>
  <r>
    <s v="P0028"/>
    <s v="L0019"/>
    <s v="Residential"/>
    <n v="4282"/>
    <s v="Business District"/>
    <n v="7437"/>
    <x v="0"/>
    <s v="Landlord_19"/>
    <s v="Chicago"/>
  </r>
  <r>
    <s v="P0029"/>
    <s v="L0012"/>
    <s v="Residential"/>
    <n v="525"/>
    <s v="Business District"/>
    <n v="844"/>
    <x v="0"/>
    <s v="Landlord_12"/>
    <s v="Phoenix"/>
  </r>
  <r>
    <s v="P0030"/>
    <s v="L0008"/>
    <s v="Residential"/>
    <n v="2407"/>
    <s v="Downtown"/>
    <n v="7953"/>
    <x v="1"/>
    <s v="Landlord_8"/>
    <s v="Houston"/>
  </r>
  <r>
    <s v="P0031"/>
    <s v="L0015"/>
    <s v="Commercial"/>
    <n v="4306"/>
    <s v="Uptown"/>
    <n v="2068"/>
    <x v="1"/>
    <s v="Landlord_15"/>
    <s v="Houston"/>
  </r>
  <r>
    <s v="P0032"/>
    <s v="L0018"/>
    <s v="Commercial"/>
    <n v="3964"/>
    <s v="Downtown"/>
    <n v="5990"/>
    <x v="1"/>
    <s v="Landlord_18"/>
    <s v="Chicago"/>
  </r>
  <r>
    <s v="P0033"/>
    <s v="L0023"/>
    <s v="Commercial"/>
    <n v="3832"/>
    <s v="Downtown"/>
    <n v="4097"/>
    <x v="1"/>
    <s v="Landlord_23"/>
    <s v="New York"/>
  </r>
  <r>
    <s v="P0034"/>
    <s v="L0013"/>
    <s v="Residential"/>
    <n v="1096"/>
    <s v="Downtown"/>
    <n v="1578"/>
    <x v="0"/>
    <s v="Landlord_13"/>
    <s v="San Francisco"/>
  </r>
  <r>
    <s v="P0035"/>
    <s v="L0012"/>
    <s v="Residential"/>
    <n v="1724"/>
    <s v="Uptown"/>
    <n v="6851"/>
    <x v="1"/>
    <s v="Landlord_12"/>
    <s v="Phoenix"/>
  </r>
  <r>
    <s v="P0036"/>
    <s v="L0014"/>
    <s v="Commercial"/>
    <n v="4788"/>
    <s v="Downtown"/>
    <n v="2320"/>
    <x v="0"/>
    <s v="Landlord_14"/>
    <s v="New York"/>
  </r>
  <r>
    <s v="P0037"/>
    <s v="L0009"/>
    <s v="Commercial"/>
    <n v="1135"/>
    <s v="Uptown"/>
    <n v="3609"/>
    <x v="0"/>
    <s v="Landlord_9"/>
    <s v="Los Angeles"/>
  </r>
  <r>
    <s v="P0038"/>
    <s v="L0007"/>
    <s v="Commercial"/>
    <n v="3961"/>
    <s v="Business District"/>
    <n v="1077"/>
    <x v="1"/>
    <s v="Landlord_7"/>
    <s v="Boston"/>
  </r>
  <r>
    <s v="P0039"/>
    <s v="L0025"/>
    <s v="Residential"/>
    <n v="1071"/>
    <s v="Suburb"/>
    <n v="3109"/>
    <x v="1"/>
    <s v="Landlord_25"/>
    <s v="San Francisco"/>
  </r>
  <r>
    <s v="P0040"/>
    <s v="L0017"/>
    <s v="Residential"/>
    <n v="1742"/>
    <s v="Uptown"/>
    <n v="2012"/>
    <x v="0"/>
    <s v="Landlord_17"/>
    <s v="San Francisco"/>
  </r>
  <r>
    <s v="P0041"/>
    <s v="L0030"/>
    <s v="Residential"/>
    <n v="1801"/>
    <s v="Uptown"/>
    <n v="2908"/>
    <x v="0"/>
    <s v="Landlord_30"/>
    <s v="San Francisco"/>
  </r>
  <r>
    <s v="P0042"/>
    <s v="L0021"/>
    <s v="Residential"/>
    <n v="3845"/>
    <s v="Downtown"/>
    <n v="2802"/>
    <x v="0"/>
    <s v="Landlord_21"/>
    <s v="Houston"/>
  </r>
  <r>
    <s v="P0043"/>
    <s v="L0017"/>
    <s v="Commercial"/>
    <n v="2211"/>
    <s v="Uptown"/>
    <n v="3283"/>
    <x v="0"/>
    <s v="Landlord_17"/>
    <s v="San Francisco"/>
  </r>
  <r>
    <s v="P0044"/>
    <s v="L0030"/>
    <s v="Commercial"/>
    <n v="3450"/>
    <s v="Downtown"/>
    <n v="6142"/>
    <x v="0"/>
    <s v="Landlord_30"/>
    <s v="San Francisco"/>
  </r>
  <r>
    <s v="P0045"/>
    <s v="L0014"/>
    <s v="Commercial"/>
    <n v="3460"/>
    <s v="Business District"/>
    <n v="1687"/>
    <x v="0"/>
    <s v="Landlord_14"/>
    <s v="New York"/>
  </r>
  <r>
    <s v="P0046"/>
    <s v="L0014"/>
    <s v="Commercial"/>
    <n v="2578"/>
    <s v="Suburb"/>
    <n v="3661"/>
    <x v="1"/>
    <s v="Landlord_14"/>
    <s v="New York"/>
  </r>
  <r>
    <s v="P0047"/>
    <s v="L0013"/>
    <s v="Residential"/>
    <n v="853"/>
    <s v="Downtown"/>
    <n v="7910"/>
    <x v="1"/>
    <s v="Landlord_13"/>
    <s v="San Francisco"/>
  </r>
  <r>
    <s v="P0048"/>
    <s v="L0026"/>
    <s v="Residential"/>
    <n v="3083"/>
    <s v="Suburb"/>
    <n v="7683"/>
    <x v="0"/>
    <s v="Landlord_26"/>
    <s v="Houston"/>
  </r>
  <r>
    <s v="P0049"/>
    <s v="L0026"/>
    <s v="Commercial"/>
    <n v="1953"/>
    <s v="Suburb"/>
    <n v="4880"/>
    <x v="1"/>
    <s v="Landlord_26"/>
    <s v="Houston"/>
  </r>
  <r>
    <s v="P0050"/>
    <s v="L0013"/>
    <s v="Commercial"/>
    <n v="4585"/>
    <s v="Suburb"/>
    <n v="3490"/>
    <x v="0"/>
    <s v="Landlord_13"/>
    <s v="San Francisco"/>
  </r>
  <r>
    <s v="P0051"/>
    <s v="L0005"/>
    <s v="Residential"/>
    <n v="1929"/>
    <s v="Suburb"/>
    <n v="2020"/>
    <x v="0"/>
    <s v="Landlord_5"/>
    <s v="Phoenix"/>
  </r>
  <r>
    <s v="P0052"/>
    <s v="L0020"/>
    <s v="Residential"/>
    <n v="4027"/>
    <s v="Uptown"/>
    <n v="1810"/>
    <x v="0"/>
    <s v="Landlord_20"/>
    <s v="Houston"/>
  </r>
  <r>
    <s v="P0053"/>
    <s v="L0009"/>
    <s v="Residential"/>
    <n v="2672"/>
    <s v="Suburb"/>
    <n v="2828"/>
    <x v="1"/>
    <s v="Landlord_9"/>
    <s v="Los Angeles"/>
  </r>
  <r>
    <s v="P0054"/>
    <s v="L0010"/>
    <s v="Residential"/>
    <n v="3095"/>
    <s v="Business District"/>
    <n v="3945"/>
    <x v="0"/>
    <s v="Landlord_10"/>
    <s v="New York"/>
  </r>
  <r>
    <s v="P0055"/>
    <s v="L0011"/>
    <s v="Commercial"/>
    <n v="2211"/>
    <s v="Downtown"/>
    <n v="3823"/>
    <x v="0"/>
    <s v="Landlord_11"/>
    <s v="Phoenix"/>
  </r>
  <r>
    <s v="P0056"/>
    <s v="L0016"/>
    <s v="Commercial"/>
    <n v="1298"/>
    <s v="Business District"/>
    <n v="7520"/>
    <x v="0"/>
    <s v="Landlord_16"/>
    <s v="Chicago"/>
  </r>
  <r>
    <s v="P0057"/>
    <s v="L0008"/>
    <s v="Commercial"/>
    <n v="2597"/>
    <s v="Suburb"/>
    <n v="3550"/>
    <x v="1"/>
    <s v="Landlord_8"/>
    <s v="Houston"/>
  </r>
  <r>
    <s v="P0058"/>
    <s v="L0007"/>
    <s v="Commercial"/>
    <n v="1345"/>
    <s v="Business District"/>
    <n v="1367"/>
    <x v="0"/>
    <s v="Landlord_7"/>
    <s v="Boston"/>
  </r>
  <r>
    <s v="P0059"/>
    <s v="L0001"/>
    <s v="Commercial"/>
    <n v="2034"/>
    <s v="Uptown"/>
    <n v="3153"/>
    <x v="0"/>
    <s v="Landlord_1"/>
    <s v="San Francisco"/>
  </r>
  <r>
    <s v="P0060"/>
    <s v="L0011"/>
    <s v="Residential"/>
    <n v="3297"/>
    <s v="Suburb"/>
    <n v="5675"/>
    <x v="0"/>
    <s v="Landlord_11"/>
    <s v="Phoenix"/>
  </r>
  <r>
    <s v="P0061"/>
    <s v="L0020"/>
    <s v="Residential"/>
    <n v="4191"/>
    <s v="Business District"/>
    <n v="4685"/>
    <x v="1"/>
    <s v="Landlord_20"/>
    <s v="Houston"/>
  </r>
  <r>
    <s v="P0062"/>
    <s v="L0009"/>
    <s v="Residential"/>
    <n v="2025"/>
    <s v="Suburb"/>
    <n v="2947"/>
    <x v="0"/>
    <s v="Landlord_9"/>
    <s v="Los Angeles"/>
  </r>
  <r>
    <s v="P0063"/>
    <s v="L0028"/>
    <s v="Commercial"/>
    <n v="1211"/>
    <s v="Business District"/>
    <n v="5355"/>
    <x v="0"/>
    <s v="Landlord_28"/>
    <s v="New York"/>
  </r>
  <r>
    <s v="P0064"/>
    <s v="L0013"/>
    <s v="Residential"/>
    <n v="3116"/>
    <s v="Suburb"/>
    <n v="7405"/>
    <x v="0"/>
    <s v="Landlord_13"/>
    <s v="San Francisco"/>
  </r>
  <r>
    <s v="P0065"/>
    <s v="L0026"/>
    <s v="Commercial"/>
    <n v="2106"/>
    <s v="Uptown"/>
    <n v="3972"/>
    <x v="0"/>
    <s v="Landlord_26"/>
    <s v="Houston"/>
  </r>
  <r>
    <s v="P0066"/>
    <s v="L0029"/>
    <s v="Residential"/>
    <n v="4398"/>
    <s v="Business District"/>
    <n v="7677"/>
    <x v="1"/>
    <s v="Landlord_29"/>
    <s v="San Francisco"/>
  </r>
  <r>
    <s v="P0067"/>
    <s v="L0003"/>
    <s v="Commercial"/>
    <n v="3745"/>
    <s v="Downtown"/>
    <n v="5925"/>
    <x v="1"/>
    <s v="Landlord_3"/>
    <s v="Houston"/>
  </r>
  <r>
    <s v="P0068"/>
    <s v="L0015"/>
    <s v="Commercial"/>
    <n v="4765"/>
    <s v="Uptown"/>
    <n v="3026"/>
    <x v="0"/>
    <s v="Landlord_15"/>
    <s v="Houston"/>
  </r>
  <r>
    <s v="P0069"/>
    <s v="L0013"/>
    <s v="Commercial"/>
    <n v="4753"/>
    <s v="Downtown"/>
    <n v="1212"/>
    <x v="1"/>
    <s v="Landlord_13"/>
    <s v="San Francisco"/>
  </r>
  <r>
    <s v="P0070"/>
    <s v="L0007"/>
    <s v="Residential"/>
    <n v="1657"/>
    <s v="Suburb"/>
    <n v="2735"/>
    <x v="1"/>
    <s v="Landlord_7"/>
    <s v="Boston"/>
  </r>
  <r>
    <s v="P0071"/>
    <s v="L0004"/>
    <s v="Residential"/>
    <n v="4276"/>
    <s v="Uptown"/>
    <n v="5943"/>
    <x v="1"/>
    <s v="Landlord_4"/>
    <s v="New York"/>
  </r>
  <r>
    <s v="P0072"/>
    <s v="L0005"/>
    <s v="Commercial"/>
    <n v="1890"/>
    <s v="Downtown"/>
    <n v="2446"/>
    <x v="0"/>
    <s v="Landlord_5"/>
    <s v="Phoenix"/>
  </r>
  <r>
    <s v="P0073"/>
    <s v="L0009"/>
    <s v="Residential"/>
    <n v="3859"/>
    <s v="Suburb"/>
    <n v="4110"/>
    <x v="1"/>
    <s v="Landlord_9"/>
    <s v="Los Angeles"/>
  </r>
  <r>
    <s v="P0074"/>
    <s v="L0007"/>
    <s v="Commercial"/>
    <n v="1272"/>
    <s v="Suburb"/>
    <n v="7637"/>
    <x v="0"/>
    <s v="Landlord_7"/>
    <s v="Boston"/>
  </r>
  <r>
    <s v="P0075"/>
    <s v="L0003"/>
    <s v="Residential"/>
    <n v="3184"/>
    <s v="Suburb"/>
    <n v="6177"/>
    <x v="1"/>
    <s v="Landlord_3"/>
    <s v="Houston"/>
  </r>
  <r>
    <s v="P0076"/>
    <s v="L0029"/>
    <s v="Commercial"/>
    <n v="1722"/>
    <s v="Business District"/>
    <n v="4669"/>
    <x v="1"/>
    <s v="Landlord_29"/>
    <s v="San Francisco"/>
  </r>
  <r>
    <s v="P0077"/>
    <s v="L0029"/>
    <s v="Commercial"/>
    <n v="2575"/>
    <s v="Business District"/>
    <n v="6798"/>
    <x v="0"/>
    <s v="Landlord_29"/>
    <s v="San Francisco"/>
  </r>
  <r>
    <s v="P0078"/>
    <s v="L0025"/>
    <s v="Residential"/>
    <n v="911"/>
    <s v="Business District"/>
    <n v="7540"/>
    <x v="1"/>
    <s v="Landlord_25"/>
    <s v="San Francisco"/>
  </r>
  <r>
    <s v="P0079"/>
    <s v="L0020"/>
    <s v="Residential"/>
    <n v="2275"/>
    <s v="Suburb"/>
    <n v="5613"/>
    <x v="0"/>
    <s v="Landlord_20"/>
    <s v="Houston"/>
  </r>
  <r>
    <s v="P0080"/>
    <s v="L0030"/>
    <s v="Residential"/>
    <n v="3494"/>
    <s v="Suburb"/>
    <n v="3576"/>
    <x v="0"/>
    <s v="Landlord_30"/>
    <s v="San Francisco"/>
  </r>
  <r>
    <s v="P0081"/>
    <s v="L0014"/>
    <s v="Commercial"/>
    <n v="4423"/>
    <s v="Downtown"/>
    <n v="7652"/>
    <x v="0"/>
    <s v="Landlord_14"/>
    <s v="New York"/>
  </r>
  <r>
    <s v="P0082"/>
    <s v="L0025"/>
    <s v="Residential"/>
    <n v="1691"/>
    <s v="Uptown"/>
    <n v="7953"/>
    <x v="1"/>
    <s v="Landlord_25"/>
    <s v="San Francisco"/>
  </r>
  <r>
    <s v="P0083"/>
    <s v="L0002"/>
    <s v="Commercial"/>
    <n v="3814"/>
    <s v="Suburb"/>
    <n v="6862"/>
    <x v="1"/>
    <s v="Landlord_2"/>
    <s v="New York"/>
  </r>
  <r>
    <s v="P0084"/>
    <s v="L0003"/>
    <s v="Residential"/>
    <n v="717"/>
    <s v="Uptown"/>
    <n v="7898"/>
    <x v="0"/>
    <s v="Landlord_3"/>
    <s v="Houston"/>
  </r>
  <r>
    <s v="P0085"/>
    <s v="L0020"/>
    <s v="Residential"/>
    <n v="4550"/>
    <s v="Uptown"/>
    <n v="1259"/>
    <x v="1"/>
    <s v="Landlord_20"/>
    <s v="Houston"/>
  </r>
  <r>
    <s v="P0086"/>
    <s v="L0011"/>
    <s v="Residential"/>
    <n v="2279"/>
    <s v="Suburb"/>
    <n v="4746"/>
    <x v="1"/>
    <s v="Landlord_11"/>
    <s v="Phoenix"/>
  </r>
  <r>
    <s v="P0087"/>
    <s v="L0022"/>
    <s v="Commercial"/>
    <n v="1759"/>
    <s v="Suburb"/>
    <n v="7094"/>
    <x v="1"/>
    <s v="Landlord_22"/>
    <s v="Boston"/>
  </r>
  <r>
    <s v="P0088"/>
    <s v="L0026"/>
    <s v="Commercial"/>
    <n v="4796"/>
    <s v="Suburb"/>
    <n v="5658"/>
    <x v="0"/>
    <s v="Landlord_26"/>
    <s v="Houston"/>
  </r>
  <r>
    <s v="P0089"/>
    <s v="L0001"/>
    <s v="Residential"/>
    <n v="1697"/>
    <s v="Uptown"/>
    <n v="1668"/>
    <x v="0"/>
    <s v="Landlord_1"/>
    <s v="San Francisco"/>
  </r>
  <r>
    <s v="P0090"/>
    <s v="L0003"/>
    <s v="Residential"/>
    <n v="3817"/>
    <s v="Downtown"/>
    <n v="4067"/>
    <x v="1"/>
    <s v="Landlord_3"/>
    <s v="Houston"/>
  </r>
  <r>
    <s v="P0091"/>
    <s v="L0020"/>
    <s v="Commercial"/>
    <n v="2836"/>
    <s v="Uptown"/>
    <n v="3506"/>
    <x v="0"/>
    <s v="Landlord_20"/>
    <s v="Houston"/>
  </r>
  <r>
    <s v="P0092"/>
    <s v="L0019"/>
    <s v="Residential"/>
    <n v="4149"/>
    <s v="Downtown"/>
    <n v="1834"/>
    <x v="1"/>
    <s v="Landlord_19"/>
    <s v="Chicago"/>
  </r>
  <r>
    <s v="P0093"/>
    <s v="L0002"/>
    <s v="Commercial"/>
    <n v="1713"/>
    <s v="Downtown"/>
    <n v="5863"/>
    <x v="0"/>
    <s v="Landlord_2"/>
    <s v="New York"/>
  </r>
  <r>
    <s v="P0094"/>
    <s v="L0010"/>
    <s v="Commercial"/>
    <n v="1584"/>
    <s v="Downtown"/>
    <n v="3189"/>
    <x v="0"/>
    <s v="Landlord_10"/>
    <s v="New York"/>
  </r>
  <r>
    <s v="P0095"/>
    <s v="L0006"/>
    <s v="Commercial"/>
    <n v="4756"/>
    <s v="Business District"/>
    <n v="4763"/>
    <x v="0"/>
    <s v="Landlord_6"/>
    <s v="Phoenix"/>
  </r>
  <r>
    <s v="P0096"/>
    <s v="L0005"/>
    <s v="Commercial"/>
    <n v="3611"/>
    <s v="Uptown"/>
    <n v="6608"/>
    <x v="0"/>
    <s v="Landlord_5"/>
    <s v="Phoenix"/>
  </r>
  <r>
    <s v="P0097"/>
    <s v="L0005"/>
    <s v="Commercial"/>
    <n v="2865"/>
    <s v="Uptown"/>
    <n v="4168"/>
    <x v="1"/>
    <s v="Landlord_5"/>
    <s v="Phoenix"/>
  </r>
  <r>
    <s v="P0098"/>
    <s v="L0006"/>
    <s v="Commercial"/>
    <n v="2570"/>
    <s v="Downtown"/>
    <n v="7467"/>
    <x v="0"/>
    <s v="Landlord_6"/>
    <s v="Phoenix"/>
  </r>
  <r>
    <s v="P0099"/>
    <s v="L0027"/>
    <s v="Commercial"/>
    <n v="3125"/>
    <s v="Downtown"/>
    <n v="3546"/>
    <x v="0"/>
    <s v="Landlord_27"/>
    <s v="Chicago"/>
  </r>
  <r>
    <s v="P0100"/>
    <s v="L0026"/>
    <s v="Residential"/>
    <n v="3173"/>
    <s v="Business District"/>
    <n v="4773"/>
    <x v="0"/>
    <s v="Landlord_26"/>
    <s v="Housto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P0089"/>
    <s v="C0021"/>
    <d v="2022-08-16T00:00:00"/>
    <n v="3640"/>
    <n v="6"/>
    <s v="Client_21"/>
    <s v="San Francisco"/>
    <x v="0"/>
  </r>
  <r>
    <s v="T0002"/>
    <s v="P0013"/>
    <s v="C0016"/>
    <d v="2024-04-20T00:00:00"/>
    <n v="6163"/>
    <n v="6"/>
    <s v="Client_16"/>
    <s v="Chicago"/>
    <x v="1"/>
  </r>
  <r>
    <s v="T0003"/>
    <s v="P0032"/>
    <s v="C0057"/>
    <d v="2022-01-25T00:00:00"/>
    <n v="2443"/>
    <n v="6"/>
    <s v="Client_57"/>
    <s v="Chicago"/>
    <x v="1"/>
  </r>
  <r>
    <s v="T0004"/>
    <s v="P0082"/>
    <s v="C0041"/>
    <d v="2022-06-25T00:00:00"/>
    <n v="4949"/>
    <n v="36"/>
    <s v="Client_41"/>
    <s v="San Francisco"/>
    <x v="0"/>
  </r>
  <r>
    <s v="T0005"/>
    <s v="P0057"/>
    <s v="C0079"/>
    <d v="2023-09-07T00:00:00"/>
    <n v="6791"/>
    <n v="18"/>
    <s v="Client_79"/>
    <s v="Houston"/>
    <x v="1"/>
  </r>
  <r>
    <s v="T0006"/>
    <s v="P0003"/>
    <s v="C0068"/>
    <d v="2024-03-02T00:00:00"/>
    <n v="1474"/>
    <n v="6"/>
    <s v="Client_68"/>
    <s v="Phoenix"/>
    <x v="1"/>
  </r>
  <r>
    <s v="T0007"/>
    <s v="P0049"/>
    <s v="C0031"/>
    <d v="2024-06-19T00:00:00"/>
    <n v="3971"/>
    <n v="12"/>
    <s v="Client_31"/>
    <s v="Houston"/>
    <x v="1"/>
  </r>
  <r>
    <s v="T0008"/>
    <s v="P0093"/>
    <s v="C0092"/>
    <d v="2022-12-25T00:00:00"/>
    <n v="7206"/>
    <n v="36"/>
    <s v="Client_92"/>
    <s v="New York"/>
    <x v="1"/>
  </r>
  <r>
    <s v="T0009"/>
    <s v="P0025"/>
    <s v="C0089"/>
    <d v="2023-06-27T00:00:00"/>
    <n v="5854"/>
    <n v="18"/>
    <s v="Client_89"/>
    <s v="Boston"/>
    <x v="1"/>
  </r>
  <r>
    <s v="T0010"/>
    <s v="P0027"/>
    <s v="C0058"/>
    <d v="2023-03-16T00:00:00"/>
    <n v="5491"/>
    <n v="18"/>
    <s v="Client_58"/>
    <s v="San Francisco"/>
    <x v="0"/>
  </r>
  <r>
    <s v="T0011"/>
    <s v="P0048"/>
    <s v="C0026"/>
    <d v="2024-05-02T00:00:00"/>
    <n v="3046"/>
    <n v="6"/>
    <s v="Client_26"/>
    <s v="Houston"/>
    <x v="0"/>
  </r>
  <r>
    <s v="T0012"/>
    <s v="P0083"/>
    <s v="C0059"/>
    <d v="2022-02-18T00:00:00"/>
    <n v="2094"/>
    <n v="36"/>
    <s v="Client_59"/>
    <s v="New York"/>
    <x v="1"/>
  </r>
  <r>
    <s v="T0013"/>
    <s v="P0078"/>
    <s v="C0063"/>
    <d v="2023-11-10T00:00:00"/>
    <n v="6184"/>
    <n v="36"/>
    <s v="Client_63"/>
    <s v="San Francisco"/>
    <x v="0"/>
  </r>
  <r>
    <s v="T0014"/>
    <s v="P0095"/>
    <s v="C0096"/>
    <d v="2022-08-23T00:00:00"/>
    <n v="1075"/>
    <n v="18"/>
    <s v="Client_96"/>
    <s v="Phoenix"/>
    <x v="1"/>
  </r>
  <r>
    <s v="T0015"/>
    <s v="P0034"/>
    <s v="C0042"/>
    <d v="2023-05-29T00:00:00"/>
    <n v="5511"/>
    <n v="12"/>
    <s v="Client_42"/>
    <s v="San Francisco"/>
    <x v="0"/>
  </r>
  <r>
    <s v="T0016"/>
    <s v="P0019"/>
    <s v="C0050"/>
    <d v="2023-06-07T00:00:00"/>
    <n v="6847"/>
    <n v="24"/>
    <s v="Client_50"/>
    <s v="Houston"/>
    <x v="0"/>
  </r>
  <r>
    <s v="T0017"/>
    <s v="P0007"/>
    <s v="C0035"/>
    <d v="2023-03-07T00:00:00"/>
    <n v="3813"/>
    <n v="36"/>
    <s v="Client_35"/>
    <s v="Houston"/>
    <x v="0"/>
  </r>
  <r>
    <s v="T0018"/>
    <s v="P0094"/>
    <s v="C0003"/>
    <d v="2023-07-22T00:00:00"/>
    <n v="879"/>
    <n v="12"/>
    <s v="Client_3"/>
    <s v="New York"/>
    <x v="1"/>
  </r>
  <r>
    <s v="T0019"/>
    <s v="P0036"/>
    <s v="C0005"/>
    <d v="2022-08-25T00:00:00"/>
    <n v="4712"/>
    <n v="6"/>
    <s v="Client_5"/>
    <s v="New York"/>
    <x v="1"/>
  </r>
  <r>
    <s v="T0020"/>
    <s v="P0055"/>
    <s v="C0079"/>
    <d v="2023-12-06T00:00:00"/>
    <n v="6118"/>
    <n v="36"/>
    <s v="Client_79"/>
    <s v="Phoenix"/>
    <x v="1"/>
  </r>
  <r>
    <s v="T0021"/>
    <s v="P0003"/>
    <s v="C0017"/>
    <d v="2022-07-25T00:00:00"/>
    <n v="2999"/>
    <n v="36"/>
    <s v="Client_17"/>
    <s v="Phoenix"/>
    <x v="1"/>
  </r>
  <r>
    <s v="T0022"/>
    <s v="P0068"/>
    <s v="C0016"/>
    <d v="2023-08-06T00:00:00"/>
    <n v="987"/>
    <n v="6"/>
    <s v="Client_16"/>
    <s v="Houston"/>
    <x v="1"/>
  </r>
  <r>
    <s v="T0023"/>
    <s v="P0052"/>
    <s v="C0063"/>
    <d v="2022-03-22T00:00:00"/>
    <n v="4284"/>
    <n v="6"/>
    <s v="Client_63"/>
    <s v="Houston"/>
    <x v="0"/>
  </r>
  <r>
    <s v="T0024"/>
    <s v="P0095"/>
    <s v="C0005"/>
    <d v="2023-07-03T00:00:00"/>
    <n v="5425"/>
    <n v="36"/>
    <s v="Client_5"/>
    <s v="Phoenix"/>
    <x v="1"/>
  </r>
  <r>
    <s v="T0025"/>
    <s v="P0013"/>
    <s v="C0014"/>
    <d v="2024-04-08T00:00:00"/>
    <n v="6697"/>
    <n v="6"/>
    <s v="Client_14"/>
    <s v="Chicago"/>
    <x v="1"/>
  </r>
  <r>
    <s v="T0026"/>
    <s v="P0050"/>
    <s v="C0080"/>
    <d v="2023-12-03T00:00:00"/>
    <n v="5660"/>
    <n v="6"/>
    <s v="Client_80"/>
    <s v="San Francisco"/>
    <x v="1"/>
  </r>
  <r>
    <s v="T0027"/>
    <s v="P0063"/>
    <s v="C0063"/>
    <d v="2023-02-07T00:00:00"/>
    <n v="5264"/>
    <n v="6"/>
    <s v="Client_63"/>
    <s v="New York"/>
    <x v="1"/>
  </r>
  <r>
    <s v="T0028"/>
    <s v="P0084"/>
    <s v="C0065"/>
    <d v="2022-05-24T00:00:00"/>
    <n v="2382"/>
    <n v="24"/>
    <s v="Client_65"/>
    <s v="Houston"/>
    <x v="0"/>
  </r>
  <r>
    <s v="T0029"/>
    <s v="P0035"/>
    <s v="C0012"/>
    <d v="2024-06-07T00:00:00"/>
    <n v="2674"/>
    <n v="12"/>
    <s v="Client_12"/>
    <s v="Phoenix"/>
    <x v="0"/>
  </r>
  <r>
    <s v="T0030"/>
    <s v="P0066"/>
    <s v="C0088"/>
    <d v="2023-09-10T00:00:00"/>
    <n v="6017"/>
    <n v="6"/>
    <s v="Client_88"/>
    <s v="San Francisco"/>
    <x v="0"/>
  </r>
  <r>
    <s v="T0031"/>
    <s v="P0004"/>
    <s v="C0016"/>
    <d v="2024-03-07T00:00:00"/>
    <n v="4877"/>
    <n v="36"/>
    <s v="Client_16"/>
    <s v="San Francisco"/>
    <x v="0"/>
  </r>
  <r>
    <s v="T0032"/>
    <s v="P0077"/>
    <s v="C0100"/>
    <d v="2024-03-06T00:00:00"/>
    <n v="7910"/>
    <n v="36"/>
    <s v="Client_100"/>
    <s v="San Francisco"/>
    <x v="1"/>
  </r>
  <r>
    <s v="T0033"/>
    <s v="P0015"/>
    <s v="C0090"/>
    <d v="2022-08-29T00:00:00"/>
    <n v="7139"/>
    <n v="12"/>
    <s v="Client_90"/>
    <s v="San Francisco"/>
    <x v="1"/>
  </r>
  <r>
    <s v="T0034"/>
    <s v="P0098"/>
    <s v="C0062"/>
    <d v="2023-01-01T00:00:00"/>
    <n v="3103"/>
    <n v="6"/>
    <s v="Client_62"/>
    <s v="Phoenix"/>
    <x v="1"/>
  </r>
  <r>
    <s v="T0035"/>
    <s v="P0014"/>
    <s v="C0048"/>
    <d v="2022-08-19T00:00:00"/>
    <n v="5441"/>
    <n v="36"/>
    <s v="Client_48"/>
    <s v="Phoenix"/>
    <x v="1"/>
  </r>
  <r>
    <s v="T0036"/>
    <s v="P0070"/>
    <s v="C0076"/>
    <d v="2022-01-25T00:00:00"/>
    <n v="1389"/>
    <n v="18"/>
    <s v="Client_76"/>
    <s v="Boston"/>
    <x v="0"/>
  </r>
  <r>
    <s v="T0037"/>
    <s v="P0082"/>
    <s v="C0015"/>
    <d v="2023-01-06T00:00:00"/>
    <n v="2809"/>
    <n v="12"/>
    <s v="Client_15"/>
    <s v="San Francisco"/>
    <x v="0"/>
  </r>
  <r>
    <s v="T0038"/>
    <s v="P0073"/>
    <s v="C0015"/>
    <d v="2023-03-28T00:00:00"/>
    <n v="3766"/>
    <n v="12"/>
    <s v="Client_15"/>
    <s v="Los Angeles"/>
    <x v="0"/>
  </r>
  <r>
    <s v="T0039"/>
    <s v="P0073"/>
    <s v="C0027"/>
    <d v="2022-12-04T00:00:00"/>
    <n v="7511"/>
    <n v="12"/>
    <s v="Client_27"/>
    <s v="Los Angeles"/>
    <x v="0"/>
  </r>
  <r>
    <s v="T0040"/>
    <s v="P0022"/>
    <s v="C0076"/>
    <d v="2023-02-16T00:00:00"/>
    <n v="4871"/>
    <n v="36"/>
    <s v="Client_76"/>
    <s v="Chicago"/>
    <x v="0"/>
  </r>
  <r>
    <s v="T0041"/>
    <s v="P0034"/>
    <s v="C0017"/>
    <d v="2023-07-27T00:00:00"/>
    <n v="3883"/>
    <n v="18"/>
    <s v="Client_17"/>
    <s v="San Francisco"/>
    <x v="0"/>
  </r>
  <r>
    <s v="T0042"/>
    <s v="P0048"/>
    <s v="C0016"/>
    <d v="2022-07-02T00:00:00"/>
    <n v="6378"/>
    <n v="18"/>
    <s v="Client_16"/>
    <s v="Houston"/>
    <x v="0"/>
  </r>
  <r>
    <s v="T0043"/>
    <s v="P0084"/>
    <s v="C0060"/>
    <d v="2023-10-30T00:00:00"/>
    <n v="4743"/>
    <n v="36"/>
    <s v="Client_60"/>
    <s v="Houston"/>
    <x v="0"/>
  </r>
  <r>
    <s v="T0044"/>
    <s v="P0032"/>
    <s v="C0016"/>
    <d v="2022-12-08T00:00:00"/>
    <n v="1108"/>
    <n v="24"/>
    <s v="Client_16"/>
    <s v="Chicago"/>
    <x v="1"/>
  </r>
  <r>
    <s v="T0045"/>
    <s v="P0040"/>
    <s v="C0020"/>
    <d v="2022-04-07T00:00:00"/>
    <n v="3533"/>
    <n v="12"/>
    <s v="Client_20"/>
    <s v="San Francisco"/>
    <x v="0"/>
  </r>
  <r>
    <s v="T0046"/>
    <s v="P0012"/>
    <s v="C0070"/>
    <d v="2024-03-30T00:00:00"/>
    <n v="2214"/>
    <n v="36"/>
    <s v="Client_70"/>
    <s v="San Francisco"/>
    <x v="1"/>
  </r>
  <r>
    <s v="T0047"/>
    <s v="P0005"/>
    <s v="C0036"/>
    <d v="2023-12-04T00:00:00"/>
    <n v="1846"/>
    <n v="18"/>
    <s v="Client_36"/>
    <s v="New York"/>
    <x v="1"/>
  </r>
  <r>
    <s v="T0048"/>
    <s v="P0073"/>
    <s v="C0044"/>
    <d v="2022-09-29T00:00:00"/>
    <n v="2664"/>
    <n v="36"/>
    <s v="Client_44"/>
    <s v="Los Angeles"/>
    <x v="0"/>
  </r>
  <r>
    <s v="T0049"/>
    <s v="P0090"/>
    <s v="C0057"/>
    <d v="2022-10-01T00:00:00"/>
    <n v="4372"/>
    <n v="18"/>
    <s v="Client_57"/>
    <s v="Houston"/>
    <x v="0"/>
  </r>
  <r>
    <s v="T0050"/>
    <s v="P0089"/>
    <s v="C0073"/>
    <d v="2022-01-10T00:00:00"/>
    <n v="4827"/>
    <n v="24"/>
    <s v="Client_73"/>
    <s v="San Francisco"/>
    <x v="0"/>
  </r>
  <r>
    <s v="T0051"/>
    <s v="P0049"/>
    <s v="C0004"/>
    <d v="2022-03-21T00:00:00"/>
    <n v="1040"/>
    <n v="6"/>
    <s v="Client_4"/>
    <s v="Houston"/>
    <x v="1"/>
  </r>
  <r>
    <s v="T0052"/>
    <s v="P0021"/>
    <s v="C0053"/>
    <d v="2022-06-13T00:00:00"/>
    <n v="2074"/>
    <n v="18"/>
    <s v="Client_53"/>
    <s v="Phoenix"/>
    <x v="1"/>
  </r>
  <r>
    <s v="T0053"/>
    <s v="P0077"/>
    <s v="C0020"/>
    <d v="2022-01-16T00:00:00"/>
    <n v="4660"/>
    <n v="12"/>
    <s v="Client_20"/>
    <s v="San Francisco"/>
    <x v="1"/>
  </r>
  <r>
    <s v="T0054"/>
    <s v="P0067"/>
    <s v="C0098"/>
    <d v="2023-12-24T00:00:00"/>
    <n v="1051"/>
    <n v="36"/>
    <s v="Client_98"/>
    <s v="Houston"/>
    <x v="1"/>
  </r>
  <r>
    <s v="T0055"/>
    <s v="P0067"/>
    <s v="C0032"/>
    <d v="2023-10-25T00:00:00"/>
    <n v="3402"/>
    <n v="12"/>
    <s v="Client_32"/>
    <s v="Houston"/>
    <x v="1"/>
  </r>
  <r>
    <s v="T0056"/>
    <s v="P0043"/>
    <s v="C0055"/>
    <d v="2022-03-12T00:00:00"/>
    <n v="4147"/>
    <n v="6"/>
    <s v="Client_55"/>
    <s v="San Francisco"/>
    <x v="1"/>
  </r>
  <r>
    <s v="T0057"/>
    <s v="P0019"/>
    <s v="C0082"/>
    <d v="2022-05-28T00:00:00"/>
    <n v="4157"/>
    <n v="6"/>
    <s v="Client_82"/>
    <s v="Houston"/>
    <x v="0"/>
  </r>
  <r>
    <s v="T0058"/>
    <s v="P0084"/>
    <s v="C0061"/>
    <d v="2022-06-30T00:00:00"/>
    <n v="2925"/>
    <n v="24"/>
    <s v="Client_61"/>
    <s v="Houston"/>
    <x v="0"/>
  </r>
  <r>
    <s v="T0059"/>
    <s v="P0022"/>
    <s v="C0062"/>
    <d v="2022-09-13T00:00:00"/>
    <n v="7747"/>
    <n v="18"/>
    <s v="Client_62"/>
    <s v="Chicago"/>
    <x v="0"/>
  </r>
  <r>
    <s v="T0060"/>
    <s v="P0092"/>
    <s v="C0069"/>
    <d v="2022-06-10T00:00:00"/>
    <n v="7496"/>
    <n v="24"/>
    <s v="Client_69"/>
    <s v="Chicago"/>
    <x v="0"/>
  </r>
  <r>
    <s v="T0061"/>
    <s v="P0013"/>
    <s v="C0039"/>
    <d v="2022-05-25T00:00:00"/>
    <n v="7050"/>
    <n v="24"/>
    <s v="Client_39"/>
    <s v="Chicago"/>
    <x v="1"/>
  </r>
  <r>
    <s v="T0062"/>
    <s v="P0022"/>
    <s v="C0069"/>
    <d v="2024-02-18T00:00:00"/>
    <n v="993"/>
    <n v="36"/>
    <s v="Client_69"/>
    <s v="Chicago"/>
    <x v="0"/>
  </r>
  <r>
    <s v="T0063"/>
    <s v="P0081"/>
    <s v="C0095"/>
    <d v="2022-09-24T00:00:00"/>
    <n v="6322"/>
    <n v="6"/>
    <s v="Client_95"/>
    <s v="New York"/>
    <x v="1"/>
  </r>
  <r>
    <s v="T0064"/>
    <s v="P0053"/>
    <s v="C0097"/>
    <d v="2023-01-10T00:00:00"/>
    <n v="3046"/>
    <n v="24"/>
    <s v="Client_97"/>
    <s v="Los Angeles"/>
    <x v="0"/>
  </r>
  <r>
    <s v="T0065"/>
    <s v="P0065"/>
    <s v="C0019"/>
    <d v="2022-11-29T00:00:00"/>
    <n v="2784"/>
    <n v="6"/>
    <s v="Client_19"/>
    <s v="Houston"/>
    <x v="1"/>
  </r>
  <r>
    <s v="T0066"/>
    <s v="P0013"/>
    <s v="C0031"/>
    <d v="2023-09-22T00:00:00"/>
    <n v="6141"/>
    <n v="36"/>
    <s v="Client_31"/>
    <s v="Chicago"/>
    <x v="1"/>
  </r>
  <r>
    <s v="T0067"/>
    <s v="P0061"/>
    <s v="C0026"/>
    <d v="2022-11-13T00:00:00"/>
    <n v="7915"/>
    <n v="12"/>
    <s v="Client_26"/>
    <s v="Houston"/>
    <x v="0"/>
  </r>
  <r>
    <s v="T0068"/>
    <s v="P0066"/>
    <s v="C0008"/>
    <d v="2022-03-04T00:00:00"/>
    <n v="4706"/>
    <n v="6"/>
    <s v="Client_8"/>
    <s v="San Francisco"/>
    <x v="0"/>
  </r>
  <r>
    <s v="T0069"/>
    <s v="P0088"/>
    <s v="C0080"/>
    <d v="2024-05-29T00:00:00"/>
    <n v="4858"/>
    <n v="36"/>
    <s v="Client_80"/>
    <s v="Houston"/>
    <x v="1"/>
  </r>
  <r>
    <s v="T0070"/>
    <s v="P0035"/>
    <s v="C0094"/>
    <d v="2023-12-07T00:00:00"/>
    <n v="6557"/>
    <n v="24"/>
    <s v="Client_94"/>
    <s v="Phoenix"/>
    <x v="0"/>
  </r>
  <r>
    <s v="T0071"/>
    <s v="P0077"/>
    <s v="C0016"/>
    <d v="2022-12-06T00:00:00"/>
    <n v="2528"/>
    <n v="24"/>
    <s v="Client_16"/>
    <s v="San Francisco"/>
    <x v="1"/>
  </r>
  <r>
    <s v="T0072"/>
    <s v="P0045"/>
    <s v="C0048"/>
    <d v="2024-05-12T00:00:00"/>
    <n v="3695"/>
    <n v="24"/>
    <s v="Client_48"/>
    <s v="New York"/>
    <x v="1"/>
  </r>
  <r>
    <s v="T0073"/>
    <s v="P0029"/>
    <s v="C0069"/>
    <d v="2023-04-05T00:00:00"/>
    <n v="4609"/>
    <n v="36"/>
    <s v="Client_69"/>
    <s v="Phoenix"/>
    <x v="0"/>
  </r>
  <r>
    <s v="T0074"/>
    <s v="P0027"/>
    <s v="C0062"/>
    <d v="2022-11-15T00:00:00"/>
    <n v="4261"/>
    <n v="36"/>
    <s v="Client_62"/>
    <s v="San Francisco"/>
    <x v="0"/>
  </r>
  <r>
    <s v="T0075"/>
    <s v="P0093"/>
    <s v="C0018"/>
    <d v="2024-01-06T00:00:00"/>
    <n v="3775"/>
    <n v="36"/>
    <s v="Client_18"/>
    <s v="New York"/>
    <x v="1"/>
  </r>
  <r>
    <s v="T0076"/>
    <s v="P0043"/>
    <s v="C0070"/>
    <d v="2024-01-06T00:00:00"/>
    <n v="5880"/>
    <n v="36"/>
    <s v="Client_70"/>
    <s v="San Francisco"/>
    <x v="1"/>
  </r>
  <r>
    <s v="T0077"/>
    <s v="P0040"/>
    <s v="C0029"/>
    <d v="2023-05-26T00:00:00"/>
    <n v="3101"/>
    <n v="18"/>
    <s v="Client_29"/>
    <s v="San Francisco"/>
    <x v="0"/>
  </r>
  <r>
    <s v="T0078"/>
    <s v="P0027"/>
    <s v="C0085"/>
    <d v="2022-12-07T00:00:00"/>
    <n v="963"/>
    <n v="18"/>
    <s v="Client_85"/>
    <s v="San Francisco"/>
    <x v="0"/>
  </r>
  <r>
    <s v="T0079"/>
    <s v="P0018"/>
    <s v="C0001"/>
    <d v="2022-04-22T00:00:00"/>
    <n v="6180"/>
    <n v="36"/>
    <s v="Client_1"/>
    <s v="New York"/>
    <x v="0"/>
  </r>
  <r>
    <s v="T0080"/>
    <s v="P0072"/>
    <s v="C0048"/>
    <d v="2022-05-28T00:00:00"/>
    <n v="6703"/>
    <n v="6"/>
    <s v="Client_48"/>
    <s v="Phoenix"/>
    <x v="1"/>
  </r>
  <r>
    <s v="T0081"/>
    <s v="P0068"/>
    <s v="C0076"/>
    <d v="2023-07-21T00:00:00"/>
    <n v="6450"/>
    <n v="36"/>
    <s v="Client_76"/>
    <s v="Houston"/>
    <x v="1"/>
  </r>
  <r>
    <s v="T0082"/>
    <s v="P0045"/>
    <s v="C0052"/>
    <d v="2023-06-19T00:00:00"/>
    <n v="1086"/>
    <n v="18"/>
    <s v="Client_52"/>
    <s v="New York"/>
    <x v="1"/>
  </r>
  <r>
    <s v="T0083"/>
    <s v="P0019"/>
    <s v="C0082"/>
    <d v="2022-07-12T00:00:00"/>
    <n v="4721"/>
    <n v="12"/>
    <s v="Client_82"/>
    <s v="Houston"/>
    <x v="0"/>
  </r>
  <r>
    <s v="T0084"/>
    <s v="P0043"/>
    <s v="C0078"/>
    <d v="2023-05-31T00:00:00"/>
    <n v="3957"/>
    <n v="18"/>
    <s v="Client_78"/>
    <s v="San Francisco"/>
    <x v="1"/>
  </r>
  <r>
    <s v="T0085"/>
    <s v="P0071"/>
    <s v="C0097"/>
    <d v="2023-03-19T00:00:00"/>
    <n v="6431"/>
    <n v="24"/>
    <s v="Client_97"/>
    <s v="New York"/>
    <x v="0"/>
  </r>
  <r>
    <s v="T0086"/>
    <s v="P0074"/>
    <s v="C0015"/>
    <d v="2022-01-24T00:00:00"/>
    <n v="1070"/>
    <n v="12"/>
    <s v="Client_15"/>
    <s v="Boston"/>
    <x v="1"/>
  </r>
  <r>
    <s v="T0087"/>
    <s v="P0031"/>
    <s v="C0077"/>
    <d v="2022-04-14T00:00:00"/>
    <n v="5662"/>
    <n v="24"/>
    <s v="Client_77"/>
    <s v="Houston"/>
    <x v="1"/>
  </r>
  <r>
    <s v="T0088"/>
    <s v="P0010"/>
    <s v="C0067"/>
    <d v="2022-11-15T00:00:00"/>
    <n v="2484"/>
    <n v="12"/>
    <s v="Client_67"/>
    <s v="Houston"/>
    <x v="1"/>
  </r>
  <r>
    <s v="T0089"/>
    <s v="P0039"/>
    <s v="C0036"/>
    <d v="2022-09-07T00:00:00"/>
    <n v="7644"/>
    <n v="24"/>
    <s v="Client_36"/>
    <s v="San Francisco"/>
    <x v="0"/>
  </r>
  <r>
    <s v="T0090"/>
    <s v="P0099"/>
    <s v="C0038"/>
    <d v="2022-05-29T00:00:00"/>
    <n v="2767"/>
    <n v="18"/>
    <s v="Client_38"/>
    <s v="Chicago"/>
    <x v="1"/>
  </r>
  <r>
    <s v="T0091"/>
    <s v="P0022"/>
    <s v="C0032"/>
    <d v="2022-07-28T00:00:00"/>
    <n v="6882"/>
    <n v="6"/>
    <s v="Client_32"/>
    <s v="Chicago"/>
    <x v="0"/>
  </r>
  <r>
    <s v="T0092"/>
    <s v="P0011"/>
    <s v="C0028"/>
    <d v="2022-04-30T00:00:00"/>
    <n v="5928"/>
    <n v="24"/>
    <s v="Client_28"/>
    <s v="San Francisco"/>
    <x v="0"/>
  </r>
  <r>
    <s v="T0093"/>
    <s v="P0035"/>
    <s v="C0078"/>
    <d v="2023-08-03T00:00:00"/>
    <n v="2475"/>
    <n v="24"/>
    <s v="Client_78"/>
    <s v="Phoenix"/>
    <x v="0"/>
  </r>
  <r>
    <s v="T0094"/>
    <s v="P0053"/>
    <s v="C0058"/>
    <d v="2024-06-08T00:00:00"/>
    <n v="6611"/>
    <n v="18"/>
    <s v="Client_58"/>
    <s v="Los Angeles"/>
    <x v="0"/>
  </r>
  <r>
    <s v="T0095"/>
    <s v="P0077"/>
    <s v="C0094"/>
    <d v="2023-05-30T00:00:00"/>
    <n v="6129"/>
    <n v="18"/>
    <s v="Client_94"/>
    <s v="San Francisco"/>
    <x v="1"/>
  </r>
  <r>
    <s v="T0096"/>
    <s v="P0050"/>
    <s v="C0067"/>
    <d v="2023-05-25T00:00:00"/>
    <n v="2194"/>
    <n v="12"/>
    <s v="Client_67"/>
    <s v="San Francisco"/>
    <x v="1"/>
  </r>
  <r>
    <s v="T0097"/>
    <s v="P0040"/>
    <s v="C0097"/>
    <d v="2022-03-15T00:00:00"/>
    <n v="3353"/>
    <n v="6"/>
    <s v="Client_97"/>
    <s v="San Francisco"/>
    <x v="0"/>
  </r>
  <r>
    <s v="T0098"/>
    <s v="P0054"/>
    <s v="C0011"/>
    <d v="2023-02-16T00:00:00"/>
    <n v="6758"/>
    <n v="12"/>
    <s v="Client_11"/>
    <s v="New York"/>
    <x v="0"/>
  </r>
  <r>
    <s v="T0099"/>
    <s v="P0088"/>
    <s v="C0038"/>
    <d v="2023-01-25T00:00:00"/>
    <n v="7885"/>
    <n v="36"/>
    <s v="Client_38"/>
    <s v="Houston"/>
    <x v="1"/>
  </r>
  <r>
    <s v="T0100"/>
    <s v="P0088"/>
    <s v="C0033"/>
    <d v="2022-06-05T00:00:00"/>
    <n v="4597"/>
    <n v="12"/>
    <s v="Client_33"/>
    <s v="Houston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T0001"/>
    <s v="P0089"/>
    <s v="C0021"/>
    <d v="2022-08-16T00:00:00"/>
    <x v="0"/>
    <n v="6"/>
    <s v="Client_21"/>
    <s v="San Francisco"/>
    <s v="Residential"/>
    <x v="0"/>
  </r>
  <r>
    <s v="T0002"/>
    <s v="P0013"/>
    <s v="C0016"/>
    <d v="2024-04-20T00:00:00"/>
    <x v="1"/>
    <n v="6"/>
    <s v="Client_16"/>
    <s v="Chicago"/>
    <s v="Commercial"/>
    <x v="1"/>
  </r>
  <r>
    <s v="T0003"/>
    <s v="P0032"/>
    <s v="C0057"/>
    <d v="2022-01-25T00:00:00"/>
    <x v="2"/>
    <n v="6"/>
    <s v="Client_57"/>
    <s v="Chicago"/>
    <s v="Commercial"/>
    <x v="2"/>
  </r>
  <r>
    <s v="T0004"/>
    <s v="P0082"/>
    <s v="C0041"/>
    <d v="2022-06-25T00:00:00"/>
    <x v="3"/>
    <n v="36"/>
    <s v="Client_41"/>
    <s v="San Francisco"/>
    <s v="Residential"/>
    <x v="3"/>
  </r>
  <r>
    <s v="T0005"/>
    <s v="P0057"/>
    <s v="C0079"/>
    <d v="2023-09-07T00:00:00"/>
    <x v="4"/>
    <n v="18"/>
    <s v="Client_79"/>
    <s v="Houston"/>
    <s v="Commercial"/>
    <x v="4"/>
  </r>
  <r>
    <s v="T0006"/>
    <s v="P0003"/>
    <s v="C0068"/>
    <d v="2024-03-02T00:00:00"/>
    <x v="5"/>
    <n v="6"/>
    <s v="Client_68"/>
    <s v="Phoenix"/>
    <s v="Commercial"/>
    <x v="5"/>
  </r>
  <r>
    <s v="T0007"/>
    <s v="P0049"/>
    <s v="C0031"/>
    <d v="2024-06-19T00:00:00"/>
    <x v="6"/>
    <n v="12"/>
    <s v="Client_31"/>
    <s v="Houston"/>
    <s v="Commercial"/>
    <x v="6"/>
  </r>
  <r>
    <s v="T0008"/>
    <s v="P0093"/>
    <s v="C0092"/>
    <d v="2022-12-25T00:00:00"/>
    <x v="7"/>
    <n v="36"/>
    <s v="Client_92"/>
    <s v="New York"/>
    <s v="Commercial"/>
    <x v="7"/>
  </r>
  <r>
    <s v="T0009"/>
    <s v="P0025"/>
    <s v="C0089"/>
    <d v="2023-06-27T00:00:00"/>
    <x v="8"/>
    <n v="18"/>
    <s v="Client_89"/>
    <s v="Boston"/>
    <s v="Commercial"/>
    <x v="8"/>
  </r>
  <r>
    <s v="T0010"/>
    <s v="P0027"/>
    <s v="C0058"/>
    <d v="2023-03-16T00:00:00"/>
    <x v="9"/>
    <n v="18"/>
    <s v="Client_58"/>
    <s v="San Francisco"/>
    <s v="Residential"/>
    <x v="9"/>
  </r>
  <r>
    <s v="T0011"/>
    <s v="P0048"/>
    <s v="C0026"/>
    <d v="2024-05-02T00:00:00"/>
    <x v="10"/>
    <n v="6"/>
    <s v="Client_26"/>
    <s v="Houston"/>
    <s v="Residential"/>
    <x v="6"/>
  </r>
  <r>
    <s v="T0012"/>
    <s v="P0083"/>
    <s v="C0059"/>
    <d v="2022-02-18T00:00:00"/>
    <x v="11"/>
    <n v="36"/>
    <s v="Client_59"/>
    <s v="New York"/>
    <s v="Commercial"/>
    <x v="7"/>
  </r>
  <r>
    <s v="T0013"/>
    <s v="P0078"/>
    <s v="C0063"/>
    <d v="2023-11-10T00:00:00"/>
    <x v="12"/>
    <n v="36"/>
    <s v="Client_63"/>
    <s v="San Francisco"/>
    <s v="Residential"/>
    <x v="3"/>
  </r>
  <r>
    <s v="T0014"/>
    <s v="P0095"/>
    <s v="C0096"/>
    <d v="2022-08-23T00:00:00"/>
    <x v="13"/>
    <n v="18"/>
    <s v="Client_96"/>
    <s v="Phoenix"/>
    <s v="Commercial"/>
    <x v="10"/>
  </r>
  <r>
    <s v="T0015"/>
    <s v="P0034"/>
    <s v="C0042"/>
    <d v="2023-05-29T00:00:00"/>
    <x v="14"/>
    <n v="12"/>
    <s v="Client_42"/>
    <s v="San Francisco"/>
    <s v="Residential"/>
    <x v="11"/>
  </r>
  <r>
    <s v="T0016"/>
    <s v="P0019"/>
    <s v="C0050"/>
    <d v="2023-06-07T00:00:00"/>
    <x v="15"/>
    <n v="24"/>
    <s v="Client_50"/>
    <s v="Houston"/>
    <s v="Residential"/>
    <x v="12"/>
  </r>
  <r>
    <s v="T0017"/>
    <s v="P0007"/>
    <s v="C0035"/>
    <d v="2023-03-07T00:00:00"/>
    <x v="16"/>
    <n v="36"/>
    <s v="Client_35"/>
    <s v="Houston"/>
    <s v="Residential"/>
    <x v="13"/>
  </r>
  <r>
    <s v="T0018"/>
    <s v="P0094"/>
    <s v="C0003"/>
    <d v="2023-07-22T00:00:00"/>
    <x v="17"/>
    <n v="12"/>
    <s v="Client_3"/>
    <s v="New York"/>
    <s v="Commercial"/>
    <x v="14"/>
  </r>
  <r>
    <s v="T0019"/>
    <s v="P0036"/>
    <s v="C0005"/>
    <d v="2022-08-25T00:00:00"/>
    <x v="18"/>
    <n v="6"/>
    <s v="Client_5"/>
    <s v="New York"/>
    <s v="Commercial"/>
    <x v="15"/>
  </r>
  <r>
    <s v="T0020"/>
    <s v="P0055"/>
    <s v="C0079"/>
    <d v="2023-12-06T00:00:00"/>
    <x v="19"/>
    <n v="36"/>
    <s v="Client_79"/>
    <s v="Phoenix"/>
    <s v="Commercial"/>
    <x v="5"/>
  </r>
  <r>
    <s v="T0021"/>
    <s v="P0003"/>
    <s v="C0017"/>
    <d v="2022-07-25T00:00:00"/>
    <x v="20"/>
    <n v="36"/>
    <s v="Client_17"/>
    <s v="Phoenix"/>
    <s v="Commercial"/>
    <x v="5"/>
  </r>
  <r>
    <s v="T0022"/>
    <s v="P0068"/>
    <s v="C0016"/>
    <d v="2023-08-06T00:00:00"/>
    <x v="21"/>
    <n v="6"/>
    <s v="Client_16"/>
    <s v="Houston"/>
    <s v="Commercial"/>
    <x v="12"/>
  </r>
  <r>
    <s v="T0023"/>
    <s v="P0052"/>
    <s v="C0063"/>
    <d v="2022-03-22T00:00:00"/>
    <x v="22"/>
    <n v="6"/>
    <s v="Client_63"/>
    <s v="Houston"/>
    <s v="Residential"/>
    <x v="16"/>
  </r>
  <r>
    <s v="T0024"/>
    <s v="P0095"/>
    <s v="C0005"/>
    <d v="2023-07-03T00:00:00"/>
    <x v="23"/>
    <n v="36"/>
    <s v="Client_5"/>
    <s v="Phoenix"/>
    <s v="Commercial"/>
    <x v="10"/>
  </r>
  <r>
    <s v="T0025"/>
    <s v="P0013"/>
    <s v="C0014"/>
    <d v="2024-04-08T00:00:00"/>
    <x v="24"/>
    <n v="6"/>
    <s v="Client_14"/>
    <s v="Chicago"/>
    <s v="Commercial"/>
    <x v="1"/>
  </r>
  <r>
    <s v="T0026"/>
    <s v="P0050"/>
    <s v="C0080"/>
    <d v="2023-12-03T00:00:00"/>
    <x v="25"/>
    <n v="6"/>
    <s v="Client_80"/>
    <s v="San Francisco"/>
    <s v="Commercial"/>
    <x v="11"/>
  </r>
  <r>
    <s v="T0027"/>
    <s v="P0063"/>
    <s v="C0063"/>
    <d v="2023-02-07T00:00:00"/>
    <x v="26"/>
    <n v="6"/>
    <s v="Client_63"/>
    <s v="New York"/>
    <s v="Commercial"/>
    <x v="17"/>
  </r>
  <r>
    <s v="T0028"/>
    <s v="P0084"/>
    <s v="C0065"/>
    <d v="2022-05-24T00:00:00"/>
    <x v="27"/>
    <n v="24"/>
    <s v="Client_65"/>
    <s v="Houston"/>
    <s v="Residential"/>
    <x v="18"/>
  </r>
  <r>
    <s v="T0029"/>
    <s v="P0035"/>
    <s v="C0012"/>
    <d v="2024-06-07T00:00:00"/>
    <x v="28"/>
    <n v="12"/>
    <s v="Client_12"/>
    <s v="Phoenix"/>
    <s v="Residential"/>
    <x v="19"/>
  </r>
  <r>
    <s v="T0030"/>
    <s v="P0066"/>
    <s v="C0088"/>
    <d v="2023-09-10T00:00:00"/>
    <x v="29"/>
    <n v="6"/>
    <s v="Client_88"/>
    <s v="San Francisco"/>
    <s v="Residential"/>
    <x v="9"/>
  </r>
  <r>
    <s v="T0031"/>
    <s v="P0004"/>
    <s v="C0016"/>
    <d v="2024-03-07T00:00:00"/>
    <x v="30"/>
    <n v="36"/>
    <s v="Client_16"/>
    <s v="San Francisco"/>
    <s v="Residential"/>
    <x v="11"/>
  </r>
  <r>
    <s v="T0032"/>
    <s v="P0077"/>
    <s v="C0100"/>
    <d v="2024-03-06T00:00:00"/>
    <x v="31"/>
    <n v="36"/>
    <s v="Client_100"/>
    <s v="San Francisco"/>
    <s v="Commercial"/>
    <x v="9"/>
  </r>
  <r>
    <s v="T0033"/>
    <s v="P0015"/>
    <s v="C0090"/>
    <d v="2022-08-29T00:00:00"/>
    <x v="32"/>
    <n v="12"/>
    <s v="Client_90"/>
    <s v="San Francisco"/>
    <s v="Commercial"/>
    <x v="9"/>
  </r>
  <r>
    <s v="T0034"/>
    <s v="P0098"/>
    <s v="C0062"/>
    <d v="2023-01-01T00:00:00"/>
    <x v="33"/>
    <n v="6"/>
    <s v="Client_62"/>
    <s v="Phoenix"/>
    <s v="Commercial"/>
    <x v="10"/>
  </r>
  <r>
    <s v="T0035"/>
    <s v="P0014"/>
    <s v="C0048"/>
    <d v="2022-08-19T00:00:00"/>
    <x v="34"/>
    <n v="36"/>
    <s v="Client_48"/>
    <s v="Phoenix"/>
    <s v="Commercial"/>
    <x v="20"/>
  </r>
  <r>
    <s v="T0036"/>
    <s v="P0070"/>
    <s v="C0076"/>
    <d v="2022-01-25T00:00:00"/>
    <x v="35"/>
    <n v="18"/>
    <s v="Client_76"/>
    <s v="Boston"/>
    <s v="Residential"/>
    <x v="21"/>
  </r>
  <r>
    <s v="T0037"/>
    <s v="P0082"/>
    <s v="C0015"/>
    <d v="2023-01-06T00:00:00"/>
    <x v="36"/>
    <n v="12"/>
    <s v="Client_15"/>
    <s v="San Francisco"/>
    <s v="Residential"/>
    <x v="3"/>
  </r>
  <r>
    <s v="T0038"/>
    <s v="P0073"/>
    <s v="C0015"/>
    <d v="2023-03-28T00:00:00"/>
    <x v="37"/>
    <n v="12"/>
    <s v="Client_15"/>
    <s v="Los Angeles"/>
    <s v="Residential"/>
    <x v="22"/>
  </r>
  <r>
    <s v="T0039"/>
    <s v="P0073"/>
    <s v="C0027"/>
    <d v="2022-12-04T00:00:00"/>
    <x v="38"/>
    <n v="12"/>
    <s v="Client_27"/>
    <s v="Los Angeles"/>
    <s v="Residential"/>
    <x v="22"/>
  </r>
  <r>
    <s v="T0040"/>
    <s v="P0022"/>
    <s v="C0076"/>
    <d v="2023-02-16T00:00:00"/>
    <x v="39"/>
    <n v="36"/>
    <s v="Client_76"/>
    <s v="Chicago"/>
    <s v="Residential"/>
    <x v="1"/>
  </r>
  <r>
    <s v="T0041"/>
    <s v="P0034"/>
    <s v="C0017"/>
    <d v="2023-07-27T00:00:00"/>
    <x v="40"/>
    <n v="18"/>
    <s v="Client_17"/>
    <s v="San Francisco"/>
    <s v="Residential"/>
    <x v="11"/>
  </r>
  <r>
    <s v="T0042"/>
    <s v="P0048"/>
    <s v="C0016"/>
    <d v="2022-07-02T00:00:00"/>
    <x v="41"/>
    <n v="18"/>
    <s v="Client_16"/>
    <s v="Houston"/>
    <s v="Residential"/>
    <x v="6"/>
  </r>
  <r>
    <s v="T0043"/>
    <s v="P0084"/>
    <s v="C0060"/>
    <d v="2023-10-30T00:00:00"/>
    <x v="42"/>
    <n v="36"/>
    <s v="Client_60"/>
    <s v="Houston"/>
    <s v="Residential"/>
    <x v="18"/>
  </r>
  <r>
    <s v="T0044"/>
    <s v="P0032"/>
    <s v="C0016"/>
    <d v="2022-12-08T00:00:00"/>
    <x v="43"/>
    <n v="24"/>
    <s v="Client_16"/>
    <s v="Chicago"/>
    <s v="Commercial"/>
    <x v="2"/>
  </r>
  <r>
    <s v="T0045"/>
    <s v="P0040"/>
    <s v="C0020"/>
    <d v="2022-04-07T00:00:00"/>
    <x v="44"/>
    <n v="12"/>
    <s v="Client_20"/>
    <s v="San Francisco"/>
    <s v="Residential"/>
    <x v="23"/>
  </r>
  <r>
    <s v="T0046"/>
    <s v="P0012"/>
    <s v="C0070"/>
    <d v="2024-03-30T00:00:00"/>
    <x v="45"/>
    <n v="36"/>
    <s v="Client_70"/>
    <s v="San Francisco"/>
    <s v="Commercial"/>
    <x v="0"/>
  </r>
  <r>
    <s v="T0047"/>
    <s v="P0005"/>
    <s v="C0036"/>
    <d v="2023-12-04T00:00:00"/>
    <x v="46"/>
    <n v="18"/>
    <s v="Client_36"/>
    <s v="New York"/>
    <s v="Commercial"/>
    <x v="14"/>
  </r>
  <r>
    <s v="T0048"/>
    <s v="P0073"/>
    <s v="C0044"/>
    <d v="2022-09-29T00:00:00"/>
    <x v="47"/>
    <n v="36"/>
    <s v="Client_44"/>
    <s v="Los Angeles"/>
    <s v="Residential"/>
    <x v="22"/>
  </r>
  <r>
    <s v="T0049"/>
    <s v="P0090"/>
    <s v="C0057"/>
    <d v="2022-10-01T00:00:00"/>
    <x v="48"/>
    <n v="18"/>
    <s v="Client_57"/>
    <s v="Houston"/>
    <s v="Residential"/>
    <x v="18"/>
  </r>
  <r>
    <s v="T0050"/>
    <s v="P0089"/>
    <s v="C0073"/>
    <d v="2022-01-10T00:00:00"/>
    <x v="49"/>
    <n v="24"/>
    <s v="Client_73"/>
    <s v="San Francisco"/>
    <s v="Residential"/>
    <x v="0"/>
  </r>
  <r>
    <s v="T0051"/>
    <s v="P0049"/>
    <s v="C0004"/>
    <d v="2022-03-21T00:00:00"/>
    <x v="50"/>
    <n v="6"/>
    <s v="Client_4"/>
    <s v="Houston"/>
    <s v="Commercial"/>
    <x v="6"/>
  </r>
  <r>
    <s v="T0052"/>
    <s v="P0021"/>
    <s v="C0053"/>
    <d v="2022-06-13T00:00:00"/>
    <x v="51"/>
    <n v="18"/>
    <s v="Client_53"/>
    <s v="Phoenix"/>
    <s v="Commercial"/>
    <x v="20"/>
  </r>
  <r>
    <s v="T0053"/>
    <s v="P0077"/>
    <s v="C0020"/>
    <d v="2022-01-16T00:00:00"/>
    <x v="52"/>
    <n v="12"/>
    <s v="Client_20"/>
    <s v="San Francisco"/>
    <s v="Commercial"/>
    <x v="9"/>
  </r>
  <r>
    <s v="T0054"/>
    <s v="P0067"/>
    <s v="C0098"/>
    <d v="2023-12-24T00:00:00"/>
    <x v="53"/>
    <n v="36"/>
    <s v="Client_98"/>
    <s v="Houston"/>
    <s v="Commercial"/>
    <x v="18"/>
  </r>
  <r>
    <s v="T0055"/>
    <s v="P0067"/>
    <s v="C0032"/>
    <d v="2023-10-25T00:00:00"/>
    <x v="54"/>
    <n v="12"/>
    <s v="Client_32"/>
    <s v="Houston"/>
    <s v="Commercial"/>
    <x v="18"/>
  </r>
  <r>
    <s v="T0056"/>
    <s v="P0043"/>
    <s v="C0055"/>
    <d v="2022-03-12T00:00:00"/>
    <x v="55"/>
    <n v="6"/>
    <s v="Client_55"/>
    <s v="San Francisco"/>
    <s v="Commercial"/>
    <x v="23"/>
  </r>
  <r>
    <s v="T0057"/>
    <s v="P0019"/>
    <s v="C0082"/>
    <d v="2022-05-28T00:00:00"/>
    <x v="56"/>
    <n v="6"/>
    <s v="Client_82"/>
    <s v="Houston"/>
    <s v="Residential"/>
    <x v="12"/>
  </r>
  <r>
    <s v="T0058"/>
    <s v="P0084"/>
    <s v="C0061"/>
    <d v="2022-06-30T00:00:00"/>
    <x v="57"/>
    <n v="24"/>
    <s v="Client_61"/>
    <s v="Houston"/>
    <s v="Residential"/>
    <x v="18"/>
  </r>
  <r>
    <s v="T0059"/>
    <s v="P0022"/>
    <s v="C0062"/>
    <d v="2022-09-13T00:00:00"/>
    <x v="58"/>
    <n v="18"/>
    <s v="Client_62"/>
    <s v="Chicago"/>
    <s v="Residential"/>
    <x v="1"/>
  </r>
  <r>
    <s v="T0060"/>
    <s v="P0092"/>
    <s v="C0069"/>
    <d v="2022-06-10T00:00:00"/>
    <x v="59"/>
    <n v="24"/>
    <s v="Client_69"/>
    <s v="Chicago"/>
    <s v="Residential"/>
    <x v="1"/>
  </r>
  <r>
    <s v="T0061"/>
    <s v="P0013"/>
    <s v="C0039"/>
    <d v="2022-05-25T00:00:00"/>
    <x v="60"/>
    <n v="24"/>
    <s v="Client_39"/>
    <s v="Chicago"/>
    <s v="Commercial"/>
    <x v="1"/>
  </r>
  <r>
    <s v="T0062"/>
    <s v="P0022"/>
    <s v="C0069"/>
    <d v="2024-02-18T00:00:00"/>
    <x v="61"/>
    <n v="36"/>
    <s v="Client_69"/>
    <s v="Chicago"/>
    <s v="Residential"/>
    <x v="1"/>
  </r>
  <r>
    <s v="T0063"/>
    <s v="P0081"/>
    <s v="C0095"/>
    <d v="2022-09-24T00:00:00"/>
    <x v="62"/>
    <n v="6"/>
    <s v="Client_95"/>
    <s v="New York"/>
    <s v="Commercial"/>
    <x v="15"/>
  </r>
  <r>
    <s v="T0064"/>
    <s v="P0053"/>
    <s v="C0097"/>
    <d v="2023-01-10T00:00:00"/>
    <x v="10"/>
    <n v="24"/>
    <s v="Client_97"/>
    <s v="Los Angeles"/>
    <s v="Residential"/>
    <x v="22"/>
  </r>
  <r>
    <s v="T0065"/>
    <s v="P0065"/>
    <s v="C0019"/>
    <d v="2022-11-29T00:00:00"/>
    <x v="63"/>
    <n v="6"/>
    <s v="Client_19"/>
    <s v="Houston"/>
    <s v="Commercial"/>
    <x v="6"/>
  </r>
  <r>
    <s v="T0066"/>
    <s v="P0013"/>
    <s v="C0031"/>
    <d v="2023-09-22T00:00:00"/>
    <x v="64"/>
    <n v="36"/>
    <s v="Client_31"/>
    <s v="Chicago"/>
    <s v="Commercial"/>
    <x v="1"/>
  </r>
  <r>
    <s v="T0067"/>
    <s v="P0061"/>
    <s v="C0026"/>
    <d v="2022-11-13T00:00:00"/>
    <x v="65"/>
    <n v="12"/>
    <s v="Client_26"/>
    <s v="Houston"/>
    <s v="Residential"/>
    <x v="16"/>
  </r>
  <r>
    <s v="T0068"/>
    <s v="P0066"/>
    <s v="C0008"/>
    <d v="2022-03-04T00:00:00"/>
    <x v="66"/>
    <n v="6"/>
    <s v="Client_8"/>
    <s v="San Francisco"/>
    <s v="Residential"/>
    <x v="9"/>
  </r>
  <r>
    <s v="T0069"/>
    <s v="P0088"/>
    <s v="C0080"/>
    <d v="2024-05-29T00:00:00"/>
    <x v="67"/>
    <n v="36"/>
    <s v="Client_80"/>
    <s v="Houston"/>
    <s v="Commercial"/>
    <x v="6"/>
  </r>
  <r>
    <s v="T0070"/>
    <s v="P0035"/>
    <s v="C0094"/>
    <d v="2023-12-07T00:00:00"/>
    <x v="68"/>
    <n v="24"/>
    <s v="Client_94"/>
    <s v="Phoenix"/>
    <s v="Residential"/>
    <x v="19"/>
  </r>
  <r>
    <s v="T0071"/>
    <s v="P0077"/>
    <s v="C0016"/>
    <d v="2022-12-06T00:00:00"/>
    <x v="69"/>
    <n v="24"/>
    <s v="Client_16"/>
    <s v="San Francisco"/>
    <s v="Commercial"/>
    <x v="9"/>
  </r>
  <r>
    <s v="T0072"/>
    <s v="P0045"/>
    <s v="C0048"/>
    <d v="2024-05-12T00:00:00"/>
    <x v="70"/>
    <n v="24"/>
    <s v="Client_48"/>
    <s v="New York"/>
    <s v="Commercial"/>
    <x v="15"/>
  </r>
  <r>
    <s v="T0073"/>
    <s v="P0029"/>
    <s v="C0069"/>
    <d v="2023-04-05T00:00:00"/>
    <x v="71"/>
    <n v="36"/>
    <s v="Client_69"/>
    <s v="Phoenix"/>
    <s v="Residential"/>
    <x v="19"/>
  </r>
  <r>
    <s v="T0074"/>
    <s v="P0027"/>
    <s v="C0062"/>
    <d v="2022-11-15T00:00:00"/>
    <x v="72"/>
    <n v="36"/>
    <s v="Client_62"/>
    <s v="San Francisco"/>
    <s v="Residential"/>
    <x v="9"/>
  </r>
  <r>
    <s v="T0075"/>
    <s v="P0093"/>
    <s v="C0018"/>
    <d v="2024-01-06T00:00:00"/>
    <x v="73"/>
    <n v="36"/>
    <s v="Client_18"/>
    <s v="New York"/>
    <s v="Commercial"/>
    <x v="7"/>
  </r>
  <r>
    <s v="T0076"/>
    <s v="P0043"/>
    <s v="C0070"/>
    <d v="2024-01-06T00:00:00"/>
    <x v="74"/>
    <n v="36"/>
    <s v="Client_70"/>
    <s v="San Francisco"/>
    <s v="Commercial"/>
    <x v="23"/>
  </r>
  <r>
    <s v="T0077"/>
    <s v="P0040"/>
    <s v="C0029"/>
    <d v="2023-05-26T00:00:00"/>
    <x v="75"/>
    <n v="18"/>
    <s v="Client_29"/>
    <s v="San Francisco"/>
    <s v="Residential"/>
    <x v="23"/>
  </r>
  <r>
    <s v="T0078"/>
    <s v="P0027"/>
    <s v="C0085"/>
    <d v="2022-12-07T00:00:00"/>
    <x v="76"/>
    <n v="18"/>
    <s v="Client_85"/>
    <s v="San Francisco"/>
    <s v="Residential"/>
    <x v="9"/>
  </r>
  <r>
    <s v="T0079"/>
    <s v="P0018"/>
    <s v="C0001"/>
    <d v="2022-04-22T00:00:00"/>
    <x v="77"/>
    <n v="36"/>
    <s v="Client_1"/>
    <s v="New York"/>
    <s v="Residential"/>
    <x v="17"/>
  </r>
  <r>
    <s v="T0080"/>
    <s v="P0072"/>
    <s v="C0048"/>
    <d v="2022-05-28T00:00:00"/>
    <x v="78"/>
    <n v="6"/>
    <s v="Client_48"/>
    <s v="Phoenix"/>
    <s v="Commercial"/>
    <x v="20"/>
  </r>
  <r>
    <s v="T0081"/>
    <s v="P0068"/>
    <s v="C0076"/>
    <d v="2023-07-21T00:00:00"/>
    <x v="79"/>
    <n v="36"/>
    <s v="Client_76"/>
    <s v="Houston"/>
    <s v="Commercial"/>
    <x v="12"/>
  </r>
  <r>
    <s v="T0082"/>
    <s v="P0045"/>
    <s v="C0052"/>
    <d v="2023-06-19T00:00:00"/>
    <x v="80"/>
    <n v="18"/>
    <s v="Client_52"/>
    <s v="New York"/>
    <s v="Commercial"/>
    <x v="15"/>
  </r>
  <r>
    <s v="T0083"/>
    <s v="P0019"/>
    <s v="C0082"/>
    <d v="2022-07-12T00:00:00"/>
    <x v="81"/>
    <n v="12"/>
    <s v="Client_82"/>
    <s v="Houston"/>
    <s v="Residential"/>
    <x v="12"/>
  </r>
  <r>
    <s v="T0084"/>
    <s v="P0043"/>
    <s v="C0078"/>
    <d v="2023-05-31T00:00:00"/>
    <x v="82"/>
    <n v="18"/>
    <s v="Client_78"/>
    <s v="San Francisco"/>
    <s v="Commercial"/>
    <x v="23"/>
  </r>
  <r>
    <s v="T0085"/>
    <s v="P0071"/>
    <s v="C0097"/>
    <d v="2023-03-19T00:00:00"/>
    <x v="83"/>
    <n v="24"/>
    <s v="Client_97"/>
    <s v="New York"/>
    <s v="Residential"/>
    <x v="24"/>
  </r>
  <r>
    <s v="T0086"/>
    <s v="P0074"/>
    <s v="C0015"/>
    <d v="2022-01-24T00:00:00"/>
    <x v="84"/>
    <n v="12"/>
    <s v="Client_15"/>
    <s v="Boston"/>
    <s v="Commercial"/>
    <x v="21"/>
  </r>
  <r>
    <s v="T0087"/>
    <s v="P0031"/>
    <s v="C0077"/>
    <d v="2022-04-14T00:00:00"/>
    <x v="85"/>
    <n v="24"/>
    <s v="Client_77"/>
    <s v="Houston"/>
    <s v="Commercial"/>
    <x v="12"/>
  </r>
  <r>
    <s v="T0088"/>
    <s v="P0010"/>
    <s v="C0067"/>
    <d v="2022-11-15T00:00:00"/>
    <x v="86"/>
    <n v="12"/>
    <s v="Client_67"/>
    <s v="Houston"/>
    <s v="Commercial"/>
    <x v="13"/>
  </r>
  <r>
    <s v="T0089"/>
    <s v="P0039"/>
    <s v="C0036"/>
    <d v="2022-09-07T00:00:00"/>
    <x v="87"/>
    <n v="24"/>
    <s v="Client_36"/>
    <s v="San Francisco"/>
    <s v="Residential"/>
    <x v="3"/>
  </r>
  <r>
    <s v="T0090"/>
    <s v="P0099"/>
    <s v="C0038"/>
    <d v="2022-05-29T00:00:00"/>
    <x v="88"/>
    <n v="18"/>
    <s v="Client_38"/>
    <s v="Chicago"/>
    <s v="Commercial"/>
    <x v="25"/>
  </r>
  <r>
    <s v="T0091"/>
    <s v="P0022"/>
    <s v="C0032"/>
    <d v="2022-07-28T00:00:00"/>
    <x v="89"/>
    <n v="6"/>
    <s v="Client_32"/>
    <s v="Chicago"/>
    <s v="Residential"/>
    <x v="1"/>
  </r>
  <r>
    <s v="T0092"/>
    <s v="P0011"/>
    <s v="C0028"/>
    <d v="2022-04-30T00:00:00"/>
    <x v="90"/>
    <n v="24"/>
    <s v="Client_28"/>
    <s v="San Francisco"/>
    <s v="Residential"/>
    <x v="11"/>
  </r>
  <r>
    <s v="T0093"/>
    <s v="P0035"/>
    <s v="C0078"/>
    <d v="2023-08-03T00:00:00"/>
    <x v="91"/>
    <n v="24"/>
    <s v="Client_78"/>
    <s v="Phoenix"/>
    <s v="Residential"/>
    <x v="19"/>
  </r>
  <r>
    <s v="T0094"/>
    <s v="P0053"/>
    <s v="C0058"/>
    <d v="2024-06-08T00:00:00"/>
    <x v="92"/>
    <n v="18"/>
    <s v="Client_58"/>
    <s v="Los Angeles"/>
    <s v="Residential"/>
    <x v="22"/>
  </r>
  <r>
    <s v="T0095"/>
    <s v="P0077"/>
    <s v="C0094"/>
    <d v="2023-05-30T00:00:00"/>
    <x v="93"/>
    <n v="18"/>
    <s v="Client_94"/>
    <s v="San Francisco"/>
    <s v="Commercial"/>
    <x v="9"/>
  </r>
  <r>
    <s v="T0096"/>
    <s v="P0050"/>
    <s v="C0067"/>
    <d v="2023-05-25T00:00:00"/>
    <x v="94"/>
    <n v="12"/>
    <s v="Client_67"/>
    <s v="San Francisco"/>
    <s v="Commercial"/>
    <x v="11"/>
  </r>
  <r>
    <s v="T0097"/>
    <s v="P0040"/>
    <s v="C0097"/>
    <d v="2022-03-15T00:00:00"/>
    <x v="95"/>
    <n v="6"/>
    <s v="Client_97"/>
    <s v="San Francisco"/>
    <s v="Residential"/>
    <x v="23"/>
  </r>
  <r>
    <s v="T0098"/>
    <s v="P0054"/>
    <s v="C0011"/>
    <d v="2023-02-16T00:00:00"/>
    <x v="96"/>
    <n v="12"/>
    <s v="Client_11"/>
    <s v="New York"/>
    <s v="Residential"/>
    <x v="14"/>
  </r>
  <r>
    <s v="T0099"/>
    <s v="P0088"/>
    <s v="C0038"/>
    <d v="2023-01-25T00:00:00"/>
    <x v="97"/>
    <n v="36"/>
    <s v="Client_38"/>
    <s v="Houston"/>
    <s v="Commercial"/>
    <x v="6"/>
  </r>
  <r>
    <s v="T0100"/>
    <s v="P0088"/>
    <s v="C0033"/>
    <d v="2022-06-05T00:00:00"/>
    <x v="98"/>
    <n v="12"/>
    <s v="Client_33"/>
    <s v="Houston"/>
    <s v="Commercial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A6884-C075-40F0-A99C-68058896E47E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ndlords">
  <location ref="G2:H29" firstHeaderRow="1" firstDataRow="1" firstDataCol="1"/>
  <pivotFields count="10">
    <pivotField showAll="0"/>
    <pivotField showAll="0"/>
    <pivotField showAll="0"/>
    <pivotField numFmtId="164" showAll="0"/>
    <pivotField dataField="1" showAll="0">
      <items count="100">
        <item x="17"/>
        <item x="76"/>
        <item x="21"/>
        <item x="61"/>
        <item x="50"/>
        <item x="53"/>
        <item x="84"/>
        <item x="13"/>
        <item x="80"/>
        <item x="43"/>
        <item x="35"/>
        <item x="5"/>
        <item x="46"/>
        <item x="51"/>
        <item x="11"/>
        <item x="94"/>
        <item x="45"/>
        <item x="27"/>
        <item x="2"/>
        <item x="91"/>
        <item x="86"/>
        <item x="69"/>
        <item x="47"/>
        <item x="28"/>
        <item x="88"/>
        <item x="63"/>
        <item x="36"/>
        <item x="57"/>
        <item x="20"/>
        <item x="10"/>
        <item x="75"/>
        <item x="33"/>
        <item x="95"/>
        <item x="54"/>
        <item x="44"/>
        <item x="0"/>
        <item x="70"/>
        <item x="37"/>
        <item x="73"/>
        <item x="16"/>
        <item x="40"/>
        <item x="82"/>
        <item x="6"/>
        <item x="55"/>
        <item x="56"/>
        <item x="72"/>
        <item x="22"/>
        <item x="48"/>
        <item x="98"/>
        <item x="71"/>
        <item x="52"/>
        <item x="66"/>
        <item x="18"/>
        <item x="81"/>
        <item x="42"/>
        <item x="49"/>
        <item x="67"/>
        <item x="39"/>
        <item x="30"/>
        <item x="3"/>
        <item x="26"/>
        <item x="23"/>
        <item x="34"/>
        <item x="9"/>
        <item x="14"/>
        <item x="25"/>
        <item x="85"/>
        <item x="8"/>
        <item x="74"/>
        <item x="90"/>
        <item x="29"/>
        <item x="19"/>
        <item x="93"/>
        <item x="64"/>
        <item x="1"/>
        <item x="77"/>
        <item x="12"/>
        <item x="62"/>
        <item x="41"/>
        <item x="83"/>
        <item x="79"/>
        <item x="68"/>
        <item x="92"/>
        <item x="24"/>
        <item x="78"/>
        <item x="96"/>
        <item x="4"/>
        <item x="15"/>
        <item x="89"/>
        <item x="60"/>
        <item x="32"/>
        <item x="7"/>
        <item x="59"/>
        <item x="38"/>
        <item x="87"/>
        <item x="58"/>
        <item x="97"/>
        <item x="31"/>
        <item x="65"/>
        <item t="default"/>
      </items>
    </pivotField>
    <pivotField showAll="0"/>
    <pivotField showAll="0"/>
    <pivotField showAll="0"/>
    <pivotField showAll="0"/>
    <pivotField axis="axisRow" showAll="0" sortType="descending">
      <items count="27">
        <item x="0"/>
        <item x="14"/>
        <item x="5"/>
        <item x="19"/>
        <item x="11"/>
        <item x="15"/>
        <item x="12"/>
        <item x="23"/>
        <item x="2"/>
        <item x="1"/>
        <item x="7"/>
        <item x="16"/>
        <item x="13"/>
        <item x="8"/>
        <item x="3"/>
        <item x="6"/>
        <item x="25"/>
        <item x="17"/>
        <item x="9"/>
        <item x="18"/>
        <item x="24"/>
        <item x="20"/>
        <item x="10"/>
        <item x="21"/>
        <item x="4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27">
    <i>
      <x v="9"/>
    </i>
    <i>
      <x v="18"/>
    </i>
    <i>
      <x v="15"/>
    </i>
    <i>
      <x v="6"/>
    </i>
    <i>
      <x v="4"/>
    </i>
    <i>
      <x v="7"/>
    </i>
    <i>
      <x v="25"/>
    </i>
    <i>
      <x v="14"/>
    </i>
    <i>
      <x v="19"/>
    </i>
    <i>
      <x v="3"/>
    </i>
    <i>
      <x v="5"/>
    </i>
    <i>
      <x v="21"/>
    </i>
    <i>
      <x v="10"/>
    </i>
    <i>
      <x v="11"/>
    </i>
    <i>
      <x v="17"/>
    </i>
    <i>
      <x/>
    </i>
    <i>
      <x v="2"/>
    </i>
    <i>
      <x v="22"/>
    </i>
    <i>
      <x v="1"/>
    </i>
    <i>
      <x v="24"/>
    </i>
    <i>
      <x v="20"/>
    </i>
    <i>
      <x v="12"/>
    </i>
    <i>
      <x v="13"/>
    </i>
    <i>
      <x v="8"/>
    </i>
    <i>
      <x v="16"/>
    </i>
    <i>
      <x v="23"/>
    </i>
    <i t="grand">
      <x/>
    </i>
  </rowItems>
  <colItems count="1">
    <i/>
  </colItems>
  <dataFields count="1">
    <dataField name="Sum of Rent_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37BB4-9AC8-4E2B-AC9E-84B3319C6AF4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perty_Type">
  <location ref="D2:E5" firstHeaderRow="1" firstDataRow="1" firstDataCol="1"/>
  <pivotFields count="9">
    <pivotField showAll="0"/>
    <pivotField showAll="0"/>
    <pivotField showAll="0"/>
    <pivotField numFmtId="164"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Rent_Value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C2539-E954-491D-9FCE-D27A6722415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3:B16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Property_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2E546-4C65-458F-BA07-78418A854388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ity">
  <location ref="A2:B4" firstHeaderRow="1" firstDataRow="1" firstDataCol="1"/>
  <pivotFields count="8">
    <pivotField showAll="0"/>
    <pivotField showAll="0"/>
    <pivotField showAll="0"/>
    <pivotField numFmtId="164" showAll="0"/>
    <pivotField dataField="1" showAll="0"/>
    <pivotField showAll="0"/>
    <pivotField showAll="0"/>
    <pivotField axis="axisRow" showAll="0">
      <items count="8">
        <item h="1" x="5"/>
        <item h="1" x="1"/>
        <item h="1" x="2"/>
        <item h="1" x="6"/>
        <item h="1" x="4"/>
        <item h="1" x="3"/>
        <item x="0"/>
        <item t="default"/>
      </items>
    </pivotField>
  </pivotFields>
  <rowFields count="1">
    <field x="7"/>
  </rowFields>
  <rowItems count="2">
    <i>
      <x v="6"/>
    </i>
    <i t="grand">
      <x/>
    </i>
  </rowItems>
  <colItems count="1">
    <i/>
  </colItems>
  <dataFields count="1">
    <dataField name="Sum of Rent_Value" fld="4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BA58-0E3D-4AE5-8E1E-16F4513910AA}" name="Landlords" displayName="Landlords" ref="A1:E31" totalsRowShown="0">
  <autoFilter ref="A1:E31" xr:uid="{00ECBA58-0E3D-4AE5-8E1E-16F4513910AA}"/>
  <tableColumns count="5">
    <tableColumn id="1" xr3:uid="{EDB5C80F-CD20-4E0F-A65F-D6CFF46AC91C}" name="Landlord_ID"/>
    <tableColumn id="2" xr3:uid="{D5740D19-1C18-4637-8A1F-C92DF746C679}" name="Landlord_Name"/>
    <tableColumn id="3" xr3:uid="{BED1BC1B-0735-4FFE-9D81-2337C4656312}" name="Property_Count"/>
    <tableColumn id="5" xr3:uid="{5A5FA36F-A56E-4AC8-80F4-3A6CDB2B7E22}" name="City"/>
    <tableColumn id="6" xr3:uid="{C7C4F2C9-D242-421C-8AB9-3B296D720C2A}" name="Contact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AB5BCD-22D7-4E22-BEC7-ACD1CB26C5B2}" name="Properties" displayName="Properties" ref="A1:I101" totalsRowShown="0">
  <autoFilter ref="A1:I101" xr:uid="{43AB5BCD-22D7-4E22-BEC7-ACD1CB26C5B2}"/>
  <tableColumns count="9">
    <tableColumn id="1" xr3:uid="{FC4916CE-6701-47BC-B477-993130DC6AEF}" name="Property_ID"/>
    <tableColumn id="2" xr3:uid="{776C3C75-BC0D-4212-982F-1F449BE3089A}" name="Landlord_ID"/>
    <tableColumn id="3" xr3:uid="{8E4D0020-0784-42F7-8BBD-196E562EBCBC}" name="Property_Type"/>
    <tableColumn id="4" xr3:uid="{12B23244-8DBE-41A4-BA2A-F5BB643D4762}" name="Area_sqft"/>
    <tableColumn id="5" xr3:uid="{E94D0FA9-664E-4F88-8C7F-F43C341100A8}" name="Location"/>
    <tableColumn id="6" xr3:uid="{41C2FAB6-607F-410C-BBFF-464806B297AD}" name="Monthly_Rent"/>
    <tableColumn id="7" xr3:uid="{33885D72-4746-4FD1-B36D-3699B7761109}" name="Property_Status"/>
    <tableColumn id="8" xr3:uid="{FDB46D93-2A95-4E9F-A390-71F262C2A68E}" name="Landlord_Name" dataDxfId="15">
      <calculatedColumnFormula>VLOOKUP(Properties[[#This Row],[Landlord_ID]],Landlords[],2,FALSE)</calculatedColumnFormula>
    </tableColumn>
    <tableColumn id="9" xr3:uid="{C842630F-7537-4E00-AB07-7EBE622E5DB9}" name="City" dataDxfId="14">
      <calculatedColumnFormula>_xlfn.XLOOKUP(Properties[[#This Row],[Landlord_ID]],Landlords[Landlord_ID],Landlords[City])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54C98-8C4A-41FC-9267-0F9360E16274}" name="Clients" displayName="Clients" ref="A1:E101" totalsRowShown="0">
  <autoFilter ref="A1:E101" xr:uid="{C3154C98-8C4A-41FC-9267-0F9360E16274}"/>
  <tableColumns count="5">
    <tableColumn id="1" xr3:uid="{07419667-62C3-4588-BEDE-3D17D309AEC7}" name="Client_ID"/>
    <tableColumn id="2" xr3:uid="{8B265DE9-99D3-46E6-B404-522353E4FA51}" name="Client_Name"/>
    <tableColumn id="3" xr3:uid="{A794C648-9D6A-4D49-815A-72309BA7EE7C}" name="Client_Type"/>
    <tableColumn id="4" xr3:uid="{F11AB2EA-B6D6-4BD2-9831-704BA9463DD8}" name="Budget"/>
    <tableColumn id="5" xr3:uid="{7491850C-D7B8-4CB6-9227-B8DB6BED6770}" name="Preferred_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399FC8-C2A3-4F6D-8308-4357DB9DB665}" name="Transactions" displayName="Transactions" ref="A1:J101" totalsRowShown="0" headerRowDxfId="2" dataDxfId="3">
  <autoFilter ref="A1:J101" xr:uid="{B9399FC8-C2A3-4F6D-8308-4357DB9DB665}"/>
  <tableColumns count="10">
    <tableColumn id="1" xr3:uid="{6EF36C3B-C914-4388-88B8-2A2AC32F3F93}" name="Transaction_ID" dataDxfId="13"/>
    <tableColumn id="2" xr3:uid="{14EB495E-FCEE-4C14-89CE-FCB7709B3559}" name="Property_ID" dataDxfId="12"/>
    <tableColumn id="3" xr3:uid="{627680D9-9FC1-4646-940A-74282DB05231}" name="Client_ID" dataDxfId="11"/>
    <tableColumn id="4" xr3:uid="{DAF8AF19-23D1-4FAF-A49F-0172D38CB67F}" name="Transaction_Date" dataDxfId="10"/>
    <tableColumn id="5" xr3:uid="{10FAFFAF-BED7-4BB1-8A41-48C3FCB42514}" name="Rent_Value" dataDxfId="9"/>
    <tableColumn id="6" xr3:uid="{68F4E0D9-E56B-46B2-B769-C996B9D613CF}" name="Contract_Duration_Months" dataDxfId="8"/>
    <tableColumn id="7" xr3:uid="{5E8E18EB-CDBF-44F0-B2AD-2D230765549C}" name="Client_Name" dataDxfId="7">
      <calculatedColumnFormula>_xlfn.XLOOKUP(Transactions!$C2,Clients[Client_ID],Clients[Client_Name])</calculatedColumnFormula>
    </tableColumn>
    <tableColumn id="8" xr3:uid="{88E07E44-D8CF-403D-8548-C16CD9955099}" name="City" dataDxfId="6">
      <calculatedColumnFormula>_xlfn.XLOOKUP(Transactions!$B2,Properties[Property_ID],Properties[City])</calculatedColumnFormula>
    </tableColumn>
    <tableColumn id="9" xr3:uid="{162CCD65-83BD-4599-B537-AC36118D2ED8}" name="Property_Type" dataDxfId="5">
      <calculatedColumnFormula>_xlfn.XLOOKUP(Transactions!$B2,Properties[Property_ID],Properties[Property_Type])</calculatedColumnFormula>
    </tableColumn>
    <tableColumn id="10" xr3:uid="{34F431C3-0AE4-49D2-A098-86DB2C00D1D7}" name="Landlord_Name" dataDxfId="4">
      <calculatedColumnFormula>_xlfn.XLOOKUP(Transactions!$B2,Properties[Property_ID],Properties[Landlord_Name])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F7" sqref="F7"/>
    </sheetView>
  </sheetViews>
  <sheetFormatPr defaultRowHeight="14.4" x14ac:dyDescent="0.3"/>
  <cols>
    <col min="1" max="1" width="13.109375" customWidth="1"/>
    <col min="2" max="3" width="16.33203125" customWidth="1"/>
    <col min="4" max="4" width="12" bestFit="1" customWidth="1"/>
    <col min="5" max="5" width="1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 t="s">
        <v>6</v>
      </c>
      <c r="B2" t="s">
        <v>7</v>
      </c>
      <c r="C2">
        <v>7</v>
      </c>
      <c r="D2" t="s">
        <v>9</v>
      </c>
      <c r="E2" t="s">
        <v>10</v>
      </c>
    </row>
    <row r="3" spans="1:5" x14ac:dyDescent="0.3">
      <c r="A3" t="s">
        <v>11</v>
      </c>
      <c r="B3" t="s">
        <v>12</v>
      </c>
      <c r="C3">
        <v>3</v>
      </c>
      <c r="D3" t="s">
        <v>13</v>
      </c>
      <c r="E3" t="s">
        <v>10</v>
      </c>
    </row>
    <row r="4" spans="1:5" x14ac:dyDescent="0.3">
      <c r="A4" t="s">
        <v>14</v>
      </c>
      <c r="B4" t="s">
        <v>15</v>
      </c>
      <c r="C4">
        <v>5</v>
      </c>
      <c r="D4" t="s">
        <v>16</v>
      </c>
      <c r="E4" t="s">
        <v>10</v>
      </c>
    </row>
    <row r="5" spans="1:5" x14ac:dyDescent="0.3">
      <c r="A5" t="s">
        <v>17</v>
      </c>
      <c r="B5" t="s">
        <v>18</v>
      </c>
      <c r="C5">
        <v>1</v>
      </c>
      <c r="D5" t="s">
        <v>13</v>
      </c>
      <c r="E5" t="s">
        <v>19</v>
      </c>
    </row>
    <row r="6" spans="1:5" x14ac:dyDescent="0.3">
      <c r="A6" t="s">
        <v>20</v>
      </c>
      <c r="B6" t="s">
        <v>21</v>
      </c>
      <c r="C6">
        <v>3</v>
      </c>
      <c r="D6" t="s">
        <v>23</v>
      </c>
      <c r="E6" t="s">
        <v>19</v>
      </c>
    </row>
    <row r="7" spans="1:5" x14ac:dyDescent="0.3">
      <c r="A7" t="s">
        <v>24</v>
      </c>
      <c r="B7" t="s">
        <v>25</v>
      </c>
      <c r="C7">
        <v>2</v>
      </c>
      <c r="D7" t="s">
        <v>23</v>
      </c>
      <c r="E7" t="s">
        <v>19</v>
      </c>
    </row>
    <row r="8" spans="1:5" x14ac:dyDescent="0.3">
      <c r="A8" t="s">
        <v>26</v>
      </c>
      <c r="B8" t="s">
        <v>27</v>
      </c>
      <c r="C8">
        <v>8</v>
      </c>
      <c r="D8" t="s">
        <v>28</v>
      </c>
      <c r="E8" t="s">
        <v>19</v>
      </c>
    </row>
    <row r="9" spans="1:5" x14ac:dyDescent="0.3">
      <c r="A9" t="s">
        <v>29</v>
      </c>
      <c r="B9" t="s">
        <v>30</v>
      </c>
      <c r="C9">
        <v>6</v>
      </c>
      <c r="D9" t="s">
        <v>16</v>
      </c>
      <c r="E9" t="s">
        <v>19</v>
      </c>
    </row>
    <row r="10" spans="1:5" x14ac:dyDescent="0.3">
      <c r="A10" t="s">
        <v>31</v>
      </c>
      <c r="B10" t="s">
        <v>32</v>
      </c>
      <c r="C10">
        <v>8</v>
      </c>
      <c r="D10" t="s">
        <v>33</v>
      </c>
      <c r="E10" t="s">
        <v>19</v>
      </c>
    </row>
    <row r="11" spans="1:5" x14ac:dyDescent="0.3">
      <c r="A11" t="s">
        <v>34</v>
      </c>
      <c r="B11" t="s">
        <v>35</v>
      </c>
      <c r="C11">
        <v>10</v>
      </c>
      <c r="D11" t="s">
        <v>13</v>
      </c>
      <c r="E11" t="s">
        <v>10</v>
      </c>
    </row>
    <row r="12" spans="1:5" x14ac:dyDescent="0.3">
      <c r="A12" t="s">
        <v>36</v>
      </c>
      <c r="B12" t="s">
        <v>37</v>
      </c>
      <c r="C12">
        <v>10</v>
      </c>
      <c r="D12" t="s">
        <v>23</v>
      </c>
      <c r="E12" t="s">
        <v>10</v>
      </c>
    </row>
    <row r="13" spans="1:5" x14ac:dyDescent="0.3">
      <c r="A13" t="s">
        <v>38</v>
      </c>
      <c r="B13" t="s">
        <v>39</v>
      </c>
      <c r="C13">
        <v>9</v>
      </c>
      <c r="D13" t="s">
        <v>23</v>
      </c>
      <c r="E13" t="s">
        <v>10</v>
      </c>
    </row>
    <row r="14" spans="1:5" x14ac:dyDescent="0.3">
      <c r="A14" t="s">
        <v>40</v>
      </c>
      <c r="B14" t="s">
        <v>41</v>
      </c>
      <c r="C14">
        <v>10</v>
      </c>
      <c r="D14" t="s">
        <v>9</v>
      </c>
      <c r="E14" t="s">
        <v>10</v>
      </c>
    </row>
    <row r="15" spans="1:5" x14ac:dyDescent="0.3">
      <c r="A15" t="s">
        <v>42</v>
      </c>
      <c r="B15" t="s">
        <v>43</v>
      </c>
      <c r="C15">
        <v>7</v>
      </c>
      <c r="D15" t="s">
        <v>13</v>
      </c>
      <c r="E15" t="s">
        <v>10</v>
      </c>
    </row>
    <row r="16" spans="1:5" x14ac:dyDescent="0.3">
      <c r="A16" t="s">
        <v>44</v>
      </c>
      <c r="B16" t="s">
        <v>45</v>
      </c>
      <c r="C16">
        <v>9</v>
      </c>
      <c r="D16" t="s">
        <v>16</v>
      </c>
      <c r="E16" t="s">
        <v>19</v>
      </c>
    </row>
    <row r="17" spans="1:5" x14ac:dyDescent="0.3">
      <c r="A17" t="s">
        <v>46</v>
      </c>
      <c r="B17" t="s">
        <v>47</v>
      </c>
      <c r="C17">
        <v>6</v>
      </c>
      <c r="D17" t="s">
        <v>48</v>
      </c>
      <c r="E17" t="s">
        <v>10</v>
      </c>
    </row>
    <row r="18" spans="1:5" x14ac:dyDescent="0.3">
      <c r="A18" t="s">
        <v>49</v>
      </c>
      <c r="B18" t="s">
        <v>50</v>
      </c>
      <c r="C18">
        <v>2</v>
      </c>
      <c r="D18" t="s">
        <v>9</v>
      </c>
      <c r="E18" t="s">
        <v>19</v>
      </c>
    </row>
    <row r="19" spans="1:5" x14ac:dyDescent="0.3">
      <c r="A19" t="s">
        <v>51</v>
      </c>
      <c r="B19" t="s">
        <v>52</v>
      </c>
      <c r="C19">
        <v>7</v>
      </c>
      <c r="D19" t="s">
        <v>48</v>
      </c>
      <c r="E19" t="s">
        <v>10</v>
      </c>
    </row>
    <row r="20" spans="1:5" x14ac:dyDescent="0.3">
      <c r="A20" t="s">
        <v>53</v>
      </c>
      <c r="B20" t="s">
        <v>54</v>
      </c>
      <c r="C20">
        <v>8</v>
      </c>
      <c r="D20" t="s">
        <v>48</v>
      </c>
      <c r="E20" t="s">
        <v>10</v>
      </c>
    </row>
    <row r="21" spans="1:5" x14ac:dyDescent="0.3">
      <c r="A21" t="s">
        <v>55</v>
      </c>
      <c r="B21" t="s">
        <v>56</v>
      </c>
      <c r="C21">
        <v>1</v>
      </c>
      <c r="D21" t="s">
        <v>16</v>
      </c>
      <c r="E21" t="s">
        <v>10</v>
      </c>
    </row>
    <row r="22" spans="1:5" x14ac:dyDescent="0.3">
      <c r="A22" t="s">
        <v>57</v>
      </c>
      <c r="B22" t="s">
        <v>58</v>
      </c>
      <c r="C22">
        <v>7</v>
      </c>
      <c r="D22" t="s">
        <v>16</v>
      </c>
      <c r="E22" t="s">
        <v>10</v>
      </c>
    </row>
    <row r="23" spans="1:5" x14ac:dyDescent="0.3">
      <c r="A23" t="s">
        <v>59</v>
      </c>
      <c r="B23" t="s">
        <v>60</v>
      </c>
      <c r="C23">
        <v>3</v>
      </c>
      <c r="D23" t="s">
        <v>28</v>
      </c>
      <c r="E23" t="s">
        <v>10</v>
      </c>
    </row>
    <row r="24" spans="1:5" x14ac:dyDescent="0.3">
      <c r="A24" t="s">
        <v>61</v>
      </c>
      <c r="B24" t="s">
        <v>62</v>
      </c>
      <c r="C24">
        <v>5</v>
      </c>
      <c r="D24" t="s">
        <v>13</v>
      </c>
      <c r="E24" t="s">
        <v>10</v>
      </c>
    </row>
    <row r="25" spans="1:5" x14ac:dyDescent="0.3">
      <c r="A25" t="s">
        <v>63</v>
      </c>
      <c r="B25" t="s">
        <v>64</v>
      </c>
      <c r="C25">
        <v>1</v>
      </c>
      <c r="D25" t="s">
        <v>28</v>
      </c>
      <c r="E25" t="s">
        <v>19</v>
      </c>
    </row>
    <row r="26" spans="1:5" x14ac:dyDescent="0.3">
      <c r="A26" t="s">
        <v>65</v>
      </c>
      <c r="B26" t="s">
        <v>66</v>
      </c>
      <c r="C26">
        <v>6</v>
      </c>
      <c r="D26" t="s">
        <v>9</v>
      </c>
      <c r="E26" t="s">
        <v>10</v>
      </c>
    </row>
    <row r="27" spans="1:5" x14ac:dyDescent="0.3">
      <c r="A27" t="s">
        <v>67</v>
      </c>
      <c r="B27" t="s">
        <v>68</v>
      </c>
      <c r="C27">
        <v>5</v>
      </c>
      <c r="D27" t="s">
        <v>16</v>
      </c>
      <c r="E27" t="s">
        <v>10</v>
      </c>
    </row>
    <row r="28" spans="1:5" x14ac:dyDescent="0.3">
      <c r="A28" t="s">
        <v>69</v>
      </c>
      <c r="B28" t="s">
        <v>70</v>
      </c>
      <c r="C28">
        <v>8</v>
      </c>
      <c r="D28" t="s">
        <v>48</v>
      </c>
      <c r="E28" t="s">
        <v>10</v>
      </c>
    </row>
    <row r="29" spans="1:5" x14ac:dyDescent="0.3">
      <c r="A29" t="s">
        <v>71</v>
      </c>
      <c r="B29" t="s">
        <v>72</v>
      </c>
      <c r="C29">
        <v>4</v>
      </c>
      <c r="D29" t="s">
        <v>13</v>
      </c>
      <c r="E29" t="s">
        <v>10</v>
      </c>
    </row>
    <row r="30" spans="1:5" x14ac:dyDescent="0.3">
      <c r="A30" t="s">
        <v>73</v>
      </c>
      <c r="B30" t="s">
        <v>74</v>
      </c>
      <c r="C30">
        <v>10</v>
      </c>
      <c r="D30" t="s">
        <v>9</v>
      </c>
      <c r="E30" t="s">
        <v>10</v>
      </c>
    </row>
    <row r="31" spans="1:5" x14ac:dyDescent="0.3">
      <c r="A31" t="s">
        <v>75</v>
      </c>
      <c r="B31" t="s">
        <v>76</v>
      </c>
      <c r="C31">
        <v>6</v>
      </c>
      <c r="D31" t="s">
        <v>9</v>
      </c>
      <c r="E31" t="s">
        <v>19</v>
      </c>
    </row>
  </sheetData>
  <conditionalFormatting sqref="E2:E31">
    <cfRule type="containsText" dxfId="1" priority="1" operator="containsText" text="Inactive">
      <formula>NOT(ISERROR(SEARCH("Inactive",E2)))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workbookViewId="0">
      <selection activeCell="J2" sqref="J2"/>
    </sheetView>
  </sheetViews>
  <sheetFormatPr defaultRowHeight="14.4" x14ac:dyDescent="0.3"/>
  <cols>
    <col min="1" max="1" width="13" customWidth="1"/>
    <col min="2" max="2" width="13.109375" customWidth="1"/>
    <col min="3" max="3" width="15.33203125" customWidth="1"/>
    <col min="4" max="4" width="11" customWidth="1"/>
    <col min="5" max="5" width="14.21875" bestFit="1" customWidth="1"/>
    <col min="6" max="6" width="15" customWidth="1"/>
    <col min="7" max="7" width="16.44140625" customWidth="1"/>
    <col min="8" max="8" width="15.77734375" customWidth="1"/>
    <col min="9" max="9" width="13.77734375" customWidth="1"/>
  </cols>
  <sheetData>
    <row r="1" spans="1:9" x14ac:dyDescent="0.3">
      <c r="A1" t="s">
        <v>77</v>
      </c>
      <c r="B1" t="s">
        <v>0</v>
      </c>
      <c r="C1" t="s">
        <v>3</v>
      </c>
      <c r="D1" t="s">
        <v>78</v>
      </c>
      <c r="E1" t="s">
        <v>79</v>
      </c>
      <c r="F1" t="s">
        <v>80</v>
      </c>
      <c r="G1" t="s">
        <v>81</v>
      </c>
      <c r="H1" t="s">
        <v>1</v>
      </c>
      <c r="I1" t="s">
        <v>4</v>
      </c>
    </row>
    <row r="2" spans="1:9" x14ac:dyDescent="0.3">
      <c r="A2" t="s">
        <v>82</v>
      </c>
      <c r="B2" t="s">
        <v>51</v>
      </c>
      <c r="C2" t="s">
        <v>22</v>
      </c>
      <c r="D2">
        <v>3280</v>
      </c>
      <c r="E2" t="s">
        <v>83</v>
      </c>
      <c r="F2">
        <v>2250</v>
      </c>
      <c r="G2" t="s">
        <v>84</v>
      </c>
      <c r="H2" t="str">
        <f>VLOOKUP(Properties[[#This Row],[Landlord_ID]],Landlords[],2,FALSE)</f>
        <v>Landlord_18</v>
      </c>
      <c r="I2" t="str">
        <f>_xlfn.XLOOKUP(Properties[[#This Row],[Landlord_ID]],Landlords[Landlord_ID],Landlords[City])</f>
        <v>Chicago</v>
      </c>
    </row>
    <row r="3" spans="1:9" x14ac:dyDescent="0.3">
      <c r="A3" t="s">
        <v>85</v>
      </c>
      <c r="B3" t="s">
        <v>51</v>
      </c>
      <c r="C3" t="s">
        <v>8</v>
      </c>
      <c r="D3">
        <v>2401</v>
      </c>
      <c r="E3" t="s">
        <v>83</v>
      </c>
      <c r="F3">
        <v>953</v>
      </c>
      <c r="G3" t="s">
        <v>86</v>
      </c>
      <c r="H3" t="str">
        <f>VLOOKUP(Properties[[#This Row],[Landlord_ID]],Landlords[],2,FALSE)</f>
        <v>Landlord_18</v>
      </c>
      <c r="I3" t="str">
        <f>_xlfn.XLOOKUP(Properties[[#This Row],[Landlord_ID]],Landlords[Landlord_ID],Landlords[City])</f>
        <v>Chicago</v>
      </c>
    </row>
    <row r="4" spans="1:9" x14ac:dyDescent="0.3">
      <c r="A4" t="s">
        <v>87</v>
      </c>
      <c r="B4" t="s">
        <v>36</v>
      </c>
      <c r="C4" t="s">
        <v>22</v>
      </c>
      <c r="D4">
        <v>693</v>
      </c>
      <c r="E4" t="s">
        <v>83</v>
      </c>
      <c r="F4">
        <v>7221</v>
      </c>
      <c r="G4" t="s">
        <v>86</v>
      </c>
      <c r="H4" t="str">
        <f>VLOOKUP(Properties[[#This Row],[Landlord_ID]],Landlords[],2,FALSE)</f>
        <v>Landlord_11</v>
      </c>
      <c r="I4" t="str">
        <f>_xlfn.XLOOKUP(Properties[[#This Row],[Landlord_ID]],Landlords[Landlord_ID],Landlords[City])</f>
        <v>Phoenix</v>
      </c>
    </row>
    <row r="5" spans="1:9" x14ac:dyDescent="0.3">
      <c r="A5" t="s">
        <v>88</v>
      </c>
      <c r="B5" t="s">
        <v>40</v>
      </c>
      <c r="C5" t="s">
        <v>8</v>
      </c>
      <c r="D5">
        <v>1530</v>
      </c>
      <c r="E5" t="s">
        <v>89</v>
      </c>
      <c r="F5">
        <v>3547</v>
      </c>
      <c r="G5" t="s">
        <v>84</v>
      </c>
      <c r="H5" t="str">
        <f>VLOOKUP(Properties[[#This Row],[Landlord_ID]],Landlords[],2,FALSE)</f>
        <v>Landlord_13</v>
      </c>
      <c r="I5" t="str">
        <f>_xlfn.XLOOKUP(Properties[[#This Row],[Landlord_ID]],Landlords[Landlord_ID],Landlords[City])</f>
        <v>San Francisco</v>
      </c>
    </row>
    <row r="6" spans="1:9" x14ac:dyDescent="0.3">
      <c r="A6" t="s">
        <v>90</v>
      </c>
      <c r="B6" t="s">
        <v>34</v>
      </c>
      <c r="C6" t="s">
        <v>22</v>
      </c>
      <c r="D6">
        <v>2253</v>
      </c>
      <c r="E6" t="s">
        <v>89</v>
      </c>
      <c r="F6">
        <v>7373</v>
      </c>
      <c r="G6" t="s">
        <v>86</v>
      </c>
      <c r="H6" t="str">
        <f>VLOOKUP(Properties[[#This Row],[Landlord_ID]],Landlords[],2,FALSE)</f>
        <v>Landlord_10</v>
      </c>
      <c r="I6" t="str">
        <f>_xlfn.XLOOKUP(Properties[[#This Row],[Landlord_ID]],Landlords[Landlord_ID],Landlords[City])</f>
        <v>New York</v>
      </c>
    </row>
    <row r="7" spans="1:9" x14ac:dyDescent="0.3">
      <c r="A7" t="s">
        <v>91</v>
      </c>
      <c r="B7" t="s">
        <v>69</v>
      </c>
      <c r="C7" t="s">
        <v>8</v>
      </c>
      <c r="D7">
        <v>4250</v>
      </c>
      <c r="E7" t="s">
        <v>92</v>
      </c>
      <c r="F7">
        <v>7573</v>
      </c>
      <c r="G7" t="s">
        <v>84</v>
      </c>
      <c r="H7" t="str">
        <f>VLOOKUP(Properties[[#This Row],[Landlord_ID]],Landlords[],2,FALSE)</f>
        <v>Landlord_27</v>
      </c>
      <c r="I7" t="str">
        <f>_xlfn.XLOOKUP(Properties[[#This Row],[Landlord_ID]],Landlords[Landlord_ID],Landlords[City])</f>
        <v>Chicago</v>
      </c>
    </row>
    <row r="8" spans="1:9" x14ac:dyDescent="0.3">
      <c r="A8" t="s">
        <v>93</v>
      </c>
      <c r="B8" t="s">
        <v>57</v>
      </c>
      <c r="C8" t="s">
        <v>8</v>
      </c>
      <c r="D8">
        <v>3097</v>
      </c>
      <c r="E8" t="s">
        <v>94</v>
      </c>
      <c r="F8">
        <v>4999</v>
      </c>
      <c r="G8" t="s">
        <v>86</v>
      </c>
      <c r="H8" t="str">
        <f>VLOOKUP(Properties[[#This Row],[Landlord_ID]],Landlords[],2,FALSE)</f>
        <v>Landlord_21</v>
      </c>
      <c r="I8" t="str">
        <f>_xlfn.XLOOKUP(Properties[[#This Row],[Landlord_ID]],Landlords[Landlord_ID],Landlords[City])</f>
        <v>Houston</v>
      </c>
    </row>
    <row r="9" spans="1:9" x14ac:dyDescent="0.3">
      <c r="A9" t="s">
        <v>95</v>
      </c>
      <c r="B9" t="s">
        <v>63</v>
      </c>
      <c r="C9" t="s">
        <v>22</v>
      </c>
      <c r="D9">
        <v>1621</v>
      </c>
      <c r="E9" t="s">
        <v>89</v>
      </c>
      <c r="F9">
        <v>2128</v>
      </c>
      <c r="G9" t="s">
        <v>84</v>
      </c>
      <c r="H9" t="str">
        <f>VLOOKUP(Properties[[#This Row],[Landlord_ID]],Landlords[],2,FALSE)</f>
        <v>Landlord_24</v>
      </c>
      <c r="I9" t="str">
        <f>_xlfn.XLOOKUP(Properties[[#This Row],[Landlord_ID]],Landlords[Landlord_ID],Landlords[City])</f>
        <v>Boston</v>
      </c>
    </row>
    <row r="10" spans="1:9" x14ac:dyDescent="0.3">
      <c r="A10" t="s">
        <v>96</v>
      </c>
      <c r="B10" t="s">
        <v>46</v>
      </c>
      <c r="C10" t="s">
        <v>22</v>
      </c>
      <c r="D10">
        <v>1637</v>
      </c>
      <c r="E10" t="s">
        <v>94</v>
      </c>
      <c r="F10">
        <v>3753</v>
      </c>
      <c r="G10" t="s">
        <v>86</v>
      </c>
      <c r="H10" t="str">
        <f>VLOOKUP(Properties[[#This Row],[Landlord_ID]],Landlords[],2,FALSE)</f>
        <v>Landlord_16</v>
      </c>
      <c r="I10" t="str">
        <f>_xlfn.XLOOKUP(Properties[[#This Row],[Landlord_ID]],Landlords[Landlord_ID],Landlords[City])</f>
        <v>Chicago</v>
      </c>
    </row>
    <row r="11" spans="1:9" x14ac:dyDescent="0.3">
      <c r="A11" t="s">
        <v>97</v>
      </c>
      <c r="B11" t="s">
        <v>57</v>
      </c>
      <c r="C11" t="s">
        <v>22</v>
      </c>
      <c r="D11">
        <v>1355</v>
      </c>
      <c r="E11" t="s">
        <v>89</v>
      </c>
      <c r="F11">
        <v>7448</v>
      </c>
      <c r="G11" t="s">
        <v>84</v>
      </c>
      <c r="H11" t="str">
        <f>VLOOKUP(Properties[[#This Row],[Landlord_ID]],Landlords[],2,FALSE)</f>
        <v>Landlord_21</v>
      </c>
      <c r="I11" t="str">
        <f>_xlfn.XLOOKUP(Properties[[#This Row],[Landlord_ID]],Landlords[Landlord_ID],Landlords[City])</f>
        <v>Houston</v>
      </c>
    </row>
    <row r="12" spans="1:9" x14ac:dyDescent="0.3">
      <c r="A12" t="s">
        <v>98</v>
      </c>
      <c r="B12" t="s">
        <v>40</v>
      </c>
      <c r="C12" t="s">
        <v>8</v>
      </c>
      <c r="D12">
        <v>2976</v>
      </c>
      <c r="E12" t="s">
        <v>92</v>
      </c>
      <c r="F12">
        <v>5391</v>
      </c>
      <c r="G12" t="s">
        <v>84</v>
      </c>
      <c r="H12" t="str">
        <f>VLOOKUP(Properties[[#This Row],[Landlord_ID]],Landlords[],2,FALSE)</f>
        <v>Landlord_13</v>
      </c>
      <c r="I12" t="str">
        <f>_xlfn.XLOOKUP(Properties[[#This Row],[Landlord_ID]],Landlords[Landlord_ID],Landlords[City])</f>
        <v>San Francisco</v>
      </c>
    </row>
    <row r="13" spans="1:9" x14ac:dyDescent="0.3">
      <c r="A13" t="s">
        <v>99</v>
      </c>
      <c r="B13" t="s">
        <v>6</v>
      </c>
      <c r="C13" t="s">
        <v>22</v>
      </c>
      <c r="D13">
        <v>4190</v>
      </c>
      <c r="E13" t="s">
        <v>92</v>
      </c>
      <c r="F13">
        <v>6182</v>
      </c>
      <c r="G13" t="s">
        <v>84</v>
      </c>
      <c r="H13" t="str">
        <f>VLOOKUP(Properties[[#This Row],[Landlord_ID]],Landlords[],2,FALSE)</f>
        <v>Landlord_1</v>
      </c>
      <c r="I13" t="str">
        <f>_xlfn.XLOOKUP(Properties[[#This Row],[Landlord_ID]],Landlords[Landlord_ID],Landlords[City])</f>
        <v>San Francisco</v>
      </c>
    </row>
    <row r="14" spans="1:9" x14ac:dyDescent="0.3">
      <c r="A14" t="s">
        <v>100</v>
      </c>
      <c r="B14" t="s">
        <v>53</v>
      </c>
      <c r="C14" t="s">
        <v>22</v>
      </c>
      <c r="D14">
        <v>2868</v>
      </c>
      <c r="E14" t="s">
        <v>94</v>
      </c>
      <c r="F14">
        <v>4221</v>
      </c>
      <c r="G14" t="s">
        <v>86</v>
      </c>
      <c r="H14" t="str">
        <f>VLOOKUP(Properties[[#This Row],[Landlord_ID]],Landlords[],2,FALSE)</f>
        <v>Landlord_19</v>
      </c>
      <c r="I14" t="str">
        <f>_xlfn.XLOOKUP(Properties[[#This Row],[Landlord_ID]],Landlords[Landlord_ID],Landlords[City])</f>
        <v>Chicago</v>
      </c>
    </row>
    <row r="15" spans="1:9" x14ac:dyDescent="0.3">
      <c r="A15" t="s">
        <v>101</v>
      </c>
      <c r="B15" t="s">
        <v>20</v>
      </c>
      <c r="C15" t="s">
        <v>22</v>
      </c>
      <c r="D15">
        <v>1565</v>
      </c>
      <c r="E15" t="s">
        <v>83</v>
      </c>
      <c r="F15">
        <v>4527</v>
      </c>
      <c r="G15" t="s">
        <v>84</v>
      </c>
      <c r="H15" t="str">
        <f>VLOOKUP(Properties[[#This Row],[Landlord_ID]],Landlords[],2,FALSE)</f>
        <v>Landlord_5</v>
      </c>
      <c r="I15" t="str">
        <f>_xlfn.XLOOKUP(Properties[[#This Row],[Landlord_ID]],Landlords[Landlord_ID],Landlords[City])</f>
        <v>Phoenix</v>
      </c>
    </row>
    <row r="16" spans="1:9" x14ac:dyDescent="0.3">
      <c r="A16" t="s">
        <v>102</v>
      </c>
      <c r="B16" t="s">
        <v>73</v>
      </c>
      <c r="C16" t="s">
        <v>22</v>
      </c>
      <c r="D16">
        <v>953</v>
      </c>
      <c r="E16" t="s">
        <v>89</v>
      </c>
      <c r="F16">
        <v>5230</v>
      </c>
      <c r="G16" t="s">
        <v>84</v>
      </c>
      <c r="H16" t="str">
        <f>VLOOKUP(Properties[[#This Row],[Landlord_ID]],Landlords[],2,FALSE)</f>
        <v>Landlord_29</v>
      </c>
      <c r="I16" t="str">
        <f>_xlfn.XLOOKUP(Properties[[#This Row],[Landlord_ID]],Landlords[Landlord_ID],Landlords[City])</f>
        <v>San Francisco</v>
      </c>
    </row>
    <row r="17" spans="1:9" x14ac:dyDescent="0.3">
      <c r="A17" t="s">
        <v>103</v>
      </c>
      <c r="B17" t="s">
        <v>29</v>
      </c>
      <c r="C17" t="s">
        <v>22</v>
      </c>
      <c r="D17">
        <v>876</v>
      </c>
      <c r="E17" t="s">
        <v>89</v>
      </c>
      <c r="F17">
        <v>2473</v>
      </c>
      <c r="G17" t="s">
        <v>84</v>
      </c>
      <c r="H17" t="str">
        <f>VLOOKUP(Properties[[#This Row],[Landlord_ID]],Landlords[],2,FALSE)</f>
        <v>Landlord_8</v>
      </c>
      <c r="I17" t="str">
        <f>_xlfn.XLOOKUP(Properties[[#This Row],[Landlord_ID]],Landlords[Landlord_ID],Landlords[City])</f>
        <v>Houston</v>
      </c>
    </row>
    <row r="18" spans="1:9" x14ac:dyDescent="0.3">
      <c r="A18" t="s">
        <v>104</v>
      </c>
      <c r="B18" t="s">
        <v>69</v>
      </c>
      <c r="C18" t="s">
        <v>22</v>
      </c>
      <c r="D18">
        <v>4344</v>
      </c>
      <c r="E18" t="s">
        <v>89</v>
      </c>
      <c r="F18">
        <v>3094</v>
      </c>
      <c r="G18" t="s">
        <v>86</v>
      </c>
      <c r="H18" t="str">
        <f>VLOOKUP(Properties[[#This Row],[Landlord_ID]],Landlords[],2,FALSE)</f>
        <v>Landlord_27</v>
      </c>
      <c r="I18" t="str">
        <f>_xlfn.XLOOKUP(Properties[[#This Row],[Landlord_ID]],Landlords[Landlord_ID],Landlords[City])</f>
        <v>Chicago</v>
      </c>
    </row>
    <row r="19" spans="1:9" x14ac:dyDescent="0.3">
      <c r="A19" t="s">
        <v>105</v>
      </c>
      <c r="B19" t="s">
        <v>71</v>
      </c>
      <c r="C19" t="s">
        <v>8</v>
      </c>
      <c r="D19">
        <v>3708</v>
      </c>
      <c r="E19" t="s">
        <v>83</v>
      </c>
      <c r="F19">
        <v>6657</v>
      </c>
      <c r="G19" t="s">
        <v>84</v>
      </c>
      <c r="H19" t="str">
        <f>VLOOKUP(Properties[[#This Row],[Landlord_ID]],Landlords[],2,FALSE)</f>
        <v>Landlord_28</v>
      </c>
      <c r="I19" t="str">
        <f>_xlfn.XLOOKUP(Properties[[#This Row],[Landlord_ID]],Landlords[Landlord_ID],Landlords[City])</f>
        <v>New York</v>
      </c>
    </row>
    <row r="20" spans="1:9" x14ac:dyDescent="0.3">
      <c r="A20" t="s">
        <v>106</v>
      </c>
      <c r="B20" t="s">
        <v>44</v>
      </c>
      <c r="C20" t="s">
        <v>8</v>
      </c>
      <c r="D20">
        <v>4799</v>
      </c>
      <c r="E20" t="s">
        <v>89</v>
      </c>
      <c r="F20">
        <v>2506</v>
      </c>
      <c r="G20" t="s">
        <v>84</v>
      </c>
      <c r="H20" t="str">
        <f>VLOOKUP(Properties[[#This Row],[Landlord_ID]],Landlords[],2,FALSE)</f>
        <v>Landlord_15</v>
      </c>
      <c r="I20" t="str">
        <f>_xlfn.XLOOKUP(Properties[[#This Row],[Landlord_ID]],Landlords[Landlord_ID],Landlords[City])</f>
        <v>Houston</v>
      </c>
    </row>
    <row r="21" spans="1:9" x14ac:dyDescent="0.3">
      <c r="A21" t="s">
        <v>107</v>
      </c>
      <c r="B21" t="s">
        <v>24</v>
      </c>
      <c r="C21" t="s">
        <v>8</v>
      </c>
      <c r="D21">
        <v>1951</v>
      </c>
      <c r="E21" t="s">
        <v>94</v>
      </c>
      <c r="F21">
        <v>3002</v>
      </c>
      <c r="G21" t="s">
        <v>86</v>
      </c>
      <c r="H21" t="str">
        <f>VLOOKUP(Properties[[#This Row],[Landlord_ID]],Landlords[],2,FALSE)</f>
        <v>Landlord_6</v>
      </c>
      <c r="I21" t="str">
        <f>_xlfn.XLOOKUP(Properties[[#This Row],[Landlord_ID]],Landlords[Landlord_ID],Landlords[City])</f>
        <v>Phoenix</v>
      </c>
    </row>
    <row r="22" spans="1:9" x14ac:dyDescent="0.3">
      <c r="A22" t="s">
        <v>108</v>
      </c>
      <c r="B22" t="s">
        <v>20</v>
      </c>
      <c r="C22" t="s">
        <v>22</v>
      </c>
      <c r="D22">
        <v>2966</v>
      </c>
      <c r="E22" t="s">
        <v>83</v>
      </c>
      <c r="F22">
        <v>6364</v>
      </c>
      <c r="G22" t="s">
        <v>86</v>
      </c>
      <c r="H22" t="str">
        <f>VLOOKUP(Properties[[#This Row],[Landlord_ID]],Landlords[],2,FALSE)</f>
        <v>Landlord_5</v>
      </c>
      <c r="I22" t="str">
        <f>_xlfn.XLOOKUP(Properties[[#This Row],[Landlord_ID]],Landlords[Landlord_ID],Landlords[City])</f>
        <v>Phoenix</v>
      </c>
    </row>
    <row r="23" spans="1:9" x14ac:dyDescent="0.3">
      <c r="A23" t="s">
        <v>109</v>
      </c>
      <c r="B23" t="s">
        <v>53</v>
      </c>
      <c r="C23" t="s">
        <v>8</v>
      </c>
      <c r="D23">
        <v>4668</v>
      </c>
      <c r="E23" t="s">
        <v>83</v>
      </c>
      <c r="F23">
        <v>2346</v>
      </c>
      <c r="G23" t="s">
        <v>86</v>
      </c>
      <c r="H23" t="str">
        <f>VLOOKUP(Properties[[#This Row],[Landlord_ID]],Landlords[],2,FALSE)</f>
        <v>Landlord_19</v>
      </c>
      <c r="I23" t="str">
        <f>_xlfn.XLOOKUP(Properties[[#This Row],[Landlord_ID]],Landlords[Landlord_ID],Landlords[City])</f>
        <v>Chicago</v>
      </c>
    </row>
    <row r="24" spans="1:9" x14ac:dyDescent="0.3">
      <c r="A24" t="s">
        <v>110</v>
      </c>
      <c r="B24" t="s">
        <v>69</v>
      </c>
      <c r="C24" t="s">
        <v>8</v>
      </c>
      <c r="D24">
        <v>2719</v>
      </c>
      <c r="E24" t="s">
        <v>89</v>
      </c>
      <c r="F24">
        <v>2404</v>
      </c>
      <c r="G24" t="s">
        <v>86</v>
      </c>
      <c r="H24" t="str">
        <f>VLOOKUP(Properties[[#This Row],[Landlord_ID]],Landlords[],2,FALSE)</f>
        <v>Landlord_27</v>
      </c>
      <c r="I24" t="str">
        <f>_xlfn.XLOOKUP(Properties[[#This Row],[Landlord_ID]],Landlords[Landlord_ID],Landlords[City])</f>
        <v>Chicago</v>
      </c>
    </row>
    <row r="25" spans="1:9" x14ac:dyDescent="0.3">
      <c r="A25" t="s">
        <v>111</v>
      </c>
      <c r="B25" t="s">
        <v>6</v>
      </c>
      <c r="C25" t="s">
        <v>8</v>
      </c>
      <c r="D25">
        <v>2389</v>
      </c>
      <c r="E25" t="s">
        <v>94</v>
      </c>
      <c r="F25">
        <v>4411</v>
      </c>
      <c r="G25" t="s">
        <v>86</v>
      </c>
      <c r="H25" t="str">
        <f>VLOOKUP(Properties[[#This Row],[Landlord_ID]],Landlords[],2,FALSE)</f>
        <v>Landlord_1</v>
      </c>
      <c r="I25" t="str">
        <f>_xlfn.XLOOKUP(Properties[[#This Row],[Landlord_ID]],Landlords[Landlord_ID],Landlords[City])</f>
        <v>San Francisco</v>
      </c>
    </row>
    <row r="26" spans="1:9" x14ac:dyDescent="0.3">
      <c r="A26" t="s">
        <v>112</v>
      </c>
      <c r="B26" t="s">
        <v>63</v>
      </c>
      <c r="C26" t="s">
        <v>22</v>
      </c>
      <c r="D26">
        <v>1935</v>
      </c>
      <c r="E26" t="s">
        <v>89</v>
      </c>
      <c r="F26">
        <v>2444</v>
      </c>
      <c r="G26" t="s">
        <v>86</v>
      </c>
      <c r="H26" t="str">
        <f>VLOOKUP(Properties[[#This Row],[Landlord_ID]],Landlords[],2,FALSE)</f>
        <v>Landlord_24</v>
      </c>
      <c r="I26" t="str">
        <f>_xlfn.XLOOKUP(Properties[[#This Row],[Landlord_ID]],Landlords[Landlord_ID],Landlords[City])</f>
        <v>Boston</v>
      </c>
    </row>
    <row r="27" spans="1:9" x14ac:dyDescent="0.3">
      <c r="A27" t="s">
        <v>113</v>
      </c>
      <c r="B27" t="s">
        <v>42</v>
      </c>
      <c r="C27" t="s">
        <v>8</v>
      </c>
      <c r="D27">
        <v>1324</v>
      </c>
      <c r="E27" t="s">
        <v>92</v>
      </c>
      <c r="F27">
        <v>6572</v>
      </c>
      <c r="G27" t="s">
        <v>84</v>
      </c>
      <c r="H27" t="str">
        <f>VLOOKUP(Properties[[#This Row],[Landlord_ID]],Landlords[],2,FALSE)</f>
        <v>Landlord_14</v>
      </c>
      <c r="I27" t="str">
        <f>_xlfn.XLOOKUP(Properties[[#This Row],[Landlord_ID]],Landlords[Landlord_ID],Landlords[City])</f>
        <v>New York</v>
      </c>
    </row>
    <row r="28" spans="1:9" x14ac:dyDescent="0.3">
      <c r="A28" t="s">
        <v>114</v>
      </c>
      <c r="B28" t="s">
        <v>73</v>
      </c>
      <c r="C28" t="s">
        <v>8</v>
      </c>
      <c r="D28">
        <v>2509</v>
      </c>
      <c r="E28" t="s">
        <v>89</v>
      </c>
      <c r="F28">
        <v>3157</v>
      </c>
      <c r="G28" t="s">
        <v>86</v>
      </c>
      <c r="H28" t="str">
        <f>VLOOKUP(Properties[[#This Row],[Landlord_ID]],Landlords[],2,FALSE)</f>
        <v>Landlord_29</v>
      </c>
      <c r="I28" t="str">
        <f>_xlfn.XLOOKUP(Properties[[#This Row],[Landlord_ID]],Landlords[Landlord_ID],Landlords[City])</f>
        <v>San Francisco</v>
      </c>
    </row>
    <row r="29" spans="1:9" x14ac:dyDescent="0.3">
      <c r="A29" t="s">
        <v>115</v>
      </c>
      <c r="B29" t="s">
        <v>53</v>
      </c>
      <c r="C29" t="s">
        <v>8</v>
      </c>
      <c r="D29">
        <v>4282</v>
      </c>
      <c r="E29" t="s">
        <v>89</v>
      </c>
      <c r="F29">
        <v>7437</v>
      </c>
      <c r="G29" t="s">
        <v>84</v>
      </c>
      <c r="H29" t="str">
        <f>VLOOKUP(Properties[[#This Row],[Landlord_ID]],Landlords[],2,FALSE)</f>
        <v>Landlord_19</v>
      </c>
      <c r="I29" t="str">
        <f>_xlfn.XLOOKUP(Properties[[#This Row],[Landlord_ID]],Landlords[Landlord_ID],Landlords[City])</f>
        <v>Chicago</v>
      </c>
    </row>
    <row r="30" spans="1:9" x14ac:dyDescent="0.3">
      <c r="A30" t="s">
        <v>116</v>
      </c>
      <c r="B30" t="s">
        <v>38</v>
      </c>
      <c r="C30" t="s">
        <v>8</v>
      </c>
      <c r="D30">
        <v>525</v>
      </c>
      <c r="E30" t="s">
        <v>89</v>
      </c>
      <c r="F30">
        <v>844</v>
      </c>
      <c r="G30" t="s">
        <v>84</v>
      </c>
      <c r="H30" t="str">
        <f>VLOOKUP(Properties[[#This Row],[Landlord_ID]],Landlords[],2,FALSE)</f>
        <v>Landlord_12</v>
      </c>
      <c r="I30" t="str">
        <f>_xlfn.XLOOKUP(Properties[[#This Row],[Landlord_ID]],Landlords[Landlord_ID],Landlords[City])</f>
        <v>Phoenix</v>
      </c>
    </row>
    <row r="31" spans="1:9" x14ac:dyDescent="0.3">
      <c r="A31" t="s">
        <v>117</v>
      </c>
      <c r="B31" t="s">
        <v>29</v>
      </c>
      <c r="C31" t="s">
        <v>8</v>
      </c>
      <c r="D31">
        <v>2407</v>
      </c>
      <c r="E31" t="s">
        <v>83</v>
      </c>
      <c r="F31">
        <v>7953</v>
      </c>
      <c r="G31" t="s">
        <v>86</v>
      </c>
      <c r="H31" t="str">
        <f>VLOOKUP(Properties[[#This Row],[Landlord_ID]],Landlords[],2,FALSE)</f>
        <v>Landlord_8</v>
      </c>
      <c r="I31" t="str">
        <f>_xlfn.XLOOKUP(Properties[[#This Row],[Landlord_ID]],Landlords[Landlord_ID],Landlords[City])</f>
        <v>Houston</v>
      </c>
    </row>
    <row r="32" spans="1:9" x14ac:dyDescent="0.3">
      <c r="A32" t="s">
        <v>118</v>
      </c>
      <c r="B32" t="s">
        <v>44</v>
      </c>
      <c r="C32" t="s">
        <v>22</v>
      </c>
      <c r="D32">
        <v>4306</v>
      </c>
      <c r="E32" t="s">
        <v>94</v>
      </c>
      <c r="F32">
        <v>2068</v>
      </c>
      <c r="G32" t="s">
        <v>86</v>
      </c>
      <c r="H32" t="str">
        <f>VLOOKUP(Properties[[#This Row],[Landlord_ID]],Landlords[],2,FALSE)</f>
        <v>Landlord_15</v>
      </c>
      <c r="I32" t="str">
        <f>_xlfn.XLOOKUP(Properties[[#This Row],[Landlord_ID]],Landlords[Landlord_ID],Landlords[City])</f>
        <v>Houston</v>
      </c>
    </row>
    <row r="33" spans="1:9" x14ac:dyDescent="0.3">
      <c r="A33" t="s">
        <v>119</v>
      </c>
      <c r="B33" t="s">
        <v>51</v>
      </c>
      <c r="C33" t="s">
        <v>22</v>
      </c>
      <c r="D33">
        <v>3964</v>
      </c>
      <c r="E33" t="s">
        <v>83</v>
      </c>
      <c r="F33">
        <v>5990</v>
      </c>
      <c r="G33" t="s">
        <v>86</v>
      </c>
      <c r="H33" t="str">
        <f>VLOOKUP(Properties[[#This Row],[Landlord_ID]],Landlords[],2,FALSE)</f>
        <v>Landlord_18</v>
      </c>
      <c r="I33" t="str">
        <f>_xlfn.XLOOKUP(Properties[[#This Row],[Landlord_ID]],Landlords[Landlord_ID],Landlords[City])</f>
        <v>Chicago</v>
      </c>
    </row>
    <row r="34" spans="1:9" x14ac:dyDescent="0.3">
      <c r="A34" t="s">
        <v>120</v>
      </c>
      <c r="B34" t="s">
        <v>61</v>
      </c>
      <c r="C34" t="s">
        <v>22</v>
      </c>
      <c r="D34">
        <v>3832</v>
      </c>
      <c r="E34" t="s">
        <v>83</v>
      </c>
      <c r="F34">
        <v>4097</v>
      </c>
      <c r="G34" t="s">
        <v>86</v>
      </c>
      <c r="H34" t="str">
        <f>VLOOKUP(Properties[[#This Row],[Landlord_ID]],Landlords[],2,FALSE)</f>
        <v>Landlord_23</v>
      </c>
      <c r="I34" t="str">
        <f>_xlfn.XLOOKUP(Properties[[#This Row],[Landlord_ID]],Landlords[Landlord_ID],Landlords[City])</f>
        <v>New York</v>
      </c>
    </row>
    <row r="35" spans="1:9" x14ac:dyDescent="0.3">
      <c r="A35" t="s">
        <v>121</v>
      </c>
      <c r="B35" t="s">
        <v>40</v>
      </c>
      <c r="C35" t="s">
        <v>8</v>
      </c>
      <c r="D35">
        <v>1096</v>
      </c>
      <c r="E35" t="s">
        <v>83</v>
      </c>
      <c r="F35">
        <v>1578</v>
      </c>
      <c r="G35" t="s">
        <v>84</v>
      </c>
      <c r="H35" t="str">
        <f>VLOOKUP(Properties[[#This Row],[Landlord_ID]],Landlords[],2,FALSE)</f>
        <v>Landlord_13</v>
      </c>
      <c r="I35" t="str">
        <f>_xlfn.XLOOKUP(Properties[[#This Row],[Landlord_ID]],Landlords[Landlord_ID],Landlords[City])</f>
        <v>San Francisco</v>
      </c>
    </row>
    <row r="36" spans="1:9" x14ac:dyDescent="0.3">
      <c r="A36" t="s">
        <v>122</v>
      </c>
      <c r="B36" t="s">
        <v>38</v>
      </c>
      <c r="C36" t="s">
        <v>8</v>
      </c>
      <c r="D36">
        <v>1724</v>
      </c>
      <c r="E36" t="s">
        <v>94</v>
      </c>
      <c r="F36">
        <v>6851</v>
      </c>
      <c r="G36" t="s">
        <v>86</v>
      </c>
      <c r="H36" t="str">
        <f>VLOOKUP(Properties[[#This Row],[Landlord_ID]],Landlords[],2,FALSE)</f>
        <v>Landlord_12</v>
      </c>
      <c r="I36" t="str">
        <f>_xlfn.XLOOKUP(Properties[[#This Row],[Landlord_ID]],Landlords[Landlord_ID],Landlords[City])</f>
        <v>Phoenix</v>
      </c>
    </row>
    <row r="37" spans="1:9" x14ac:dyDescent="0.3">
      <c r="A37" t="s">
        <v>123</v>
      </c>
      <c r="B37" t="s">
        <v>42</v>
      </c>
      <c r="C37" t="s">
        <v>22</v>
      </c>
      <c r="D37">
        <v>4788</v>
      </c>
      <c r="E37" t="s">
        <v>83</v>
      </c>
      <c r="F37">
        <v>2320</v>
      </c>
      <c r="G37" t="s">
        <v>84</v>
      </c>
      <c r="H37" t="str">
        <f>VLOOKUP(Properties[[#This Row],[Landlord_ID]],Landlords[],2,FALSE)</f>
        <v>Landlord_14</v>
      </c>
      <c r="I37" t="str">
        <f>_xlfn.XLOOKUP(Properties[[#This Row],[Landlord_ID]],Landlords[Landlord_ID],Landlords[City])</f>
        <v>New York</v>
      </c>
    </row>
    <row r="38" spans="1:9" x14ac:dyDescent="0.3">
      <c r="A38" t="s">
        <v>124</v>
      </c>
      <c r="B38" t="s">
        <v>31</v>
      </c>
      <c r="C38" t="s">
        <v>22</v>
      </c>
      <c r="D38">
        <v>1135</v>
      </c>
      <c r="E38" t="s">
        <v>94</v>
      </c>
      <c r="F38">
        <v>3609</v>
      </c>
      <c r="G38" t="s">
        <v>84</v>
      </c>
      <c r="H38" t="str">
        <f>VLOOKUP(Properties[[#This Row],[Landlord_ID]],Landlords[],2,FALSE)</f>
        <v>Landlord_9</v>
      </c>
      <c r="I38" t="str">
        <f>_xlfn.XLOOKUP(Properties[[#This Row],[Landlord_ID]],Landlords[Landlord_ID],Landlords[City])</f>
        <v>Los Angeles</v>
      </c>
    </row>
    <row r="39" spans="1:9" x14ac:dyDescent="0.3">
      <c r="A39" t="s">
        <v>125</v>
      </c>
      <c r="B39" t="s">
        <v>26</v>
      </c>
      <c r="C39" t="s">
        <v>22</v>
      </c>
      <c r="D39">
        <v>3961</v>
      </c>
      <c r="E39" t="s">
        <v>89</v>
      </c>
      <c r="F39">
        <v>1077</v>
      </c>
      <c r="G39" t="s">
        <v>86</v>
      </c>
      <c r="H39" t="str">
        <f>VLOOKUP(Properties[[#This Row],[Landlord_ID]],Landlords[],2,FALSE)</f>
        <v>Landlord_7</v>
      </c>
      <c r="I39" t="str">
        <f>_xlfn.XLOOKUP(Properties[[#This Row],[Landlord_ID]],Landlords[Landlord_ID],Landlords[City])</f>
        <v>Boston</v>
      </c>
    </row>
    <row r="40" spans="1:9" x14ac:dyDescent="0.3">
      <c r="A40" t="s">
        <v>126</v>
      </c>
      <c r="B40" t="s">
        <v>65</v>
      </c>
      <c r="C40" t="s">
        <v>8</v>
      </c>
      <c r="D40">
        <v>1071</v>
      </c>
      <c r="E40" t="s">
        <v>92</v>
      </c>
      <c r="F40">
        <v>3109</v>
      </c>
      <c r="G40" t="s">
        <v>86</v>
      </c>
      <c r="H40" t="str">
        <f>VLOOKUP(Properties[[#This Row],[Landlord_ID]],Landlords[],2,FALSE)</f>
        <v>Landlord_25</v>
      </c>
      <c r="I40" t="str">
        <f>_xlfn.XLOOKUP(Properties[[#This Row],[Landlord_ID]],Landlords[Landlord_ID],Landlords[City])</f>
        <v>San Francisco</v>
      </c>
    </row>
    <row r="41" spans="1:9" x14ac:dyDescent="0.3">
      <c r="A41" t="s">
        <v>127</v>
      </c>
      <c r="B41" t="s">
        <v>49</v>
      </c>
      <c r="C41" t="s">
        <v>8</v>
      </c>
      <c r="D41">
        <v>1742</v>
      </c>
      <c r="E41" t="s">
        <v>94</v>
      </c>
      <c r="F41">
        <v>2012</v>
      </c>
      <c r="G41" t="s">
        <v>84</v>
      </c>
      <c r="H41" t="str">
        <f>VLOOKUP(Properties[[#This Row],[Landlord_ID]],Landlords[],2,FALSE)</f>
        <v>Landlord_17</v>
      </c>
      <c r="I41" t="str">
        <f>_xlfn.XLOOKUP(Properties[[#This Row],[Landlord_ID]],Landlords[Landlord_ID],Landlords[City])</f>
        <v>San Francisco</v>
      </c>
    </row>
    <row r="42" spans="1:9" x14ac:dyDescent="0.3">
      <c r="A42" t="s">
        <v>128</v>
      </c>
      <c r="B42" t="s">
        <v>75</v>
      </c>
      <c r="C42" t="s">
        <v>8</v>
      </c>
      <c r="D42">
        <v>1801</v>
      </c>
      <c r="E42" t="s">
        <v>94</v>
      </c>
      <c r="F42">
        <v>2908</v>
      </c>
      <c r="G42" t="s">
        <v>84</v>
      </c>
      <c r="H42" t="str">
        <f>VLOOKUP(Properties[[#This Row],[Landlord_ID]],Landlords[],2,FALSE)</f>
        <v>Landlord_30</v>
      </c>
      <c r="I42" t="str">
        <f>_xlfn.XLOOKUP(Properties[[#This Row],[Landlord_ID]],Landlords[Landlord_ID],Landlords[City])</f>
        <v>San Francisco</v>
      </c>
    </row>
    <row r="43" spans="1:9" x14ac:dyDescent="0.3">
      <c r="A43" t="s">
        <v>129</v>
      </c>
      <c r="B43" t="s">
        <v>57</v>
      </c>
      <c r="C43" t="s">
        <v>8</v>
      </c>
      <c r="D43">
        <v>3845</v>
      </c>
      <c r="E43" t="s">
        <v>83</v>
      </c>
      <c r="F43">
        <v>2802</v>
      </c>
      <c r="G43" t="s">
        <v>84</v>
      </c>
      <c r="H43" t="str">
        <f>VLOOKUP(Properties[[#This Row],[Landlord_ID]],Landlords[],2,FALSE)</f>
        <v>Landlord_21</v>
      </c>
      <c r="I43" t="str">
        <f>_xlfn.XLOOKUP(Properties[[#This Row],[Landlord_ID]],Landlords[Landlord_ID],Landlords[City])</f>
        <v>Houston</v>
      </c>
    </row>
    <row r="44" spans="1:9" x14ac:dyDescent="0.3">
      <c r="A44" t="s">
        <v>130</v>
      </c>
      <c r="B44" t="s">
        <v>49</v>
      </c>
      <c r="C44" t="s">
        <v>22</v>
      </c>
      <c r="D44">
        <v>2211</v>
      </c>
      <c r="E44" t="s">
        <v>94</v>
      </c>
      <c r="F44">
        <v>3283</v>
      </c>
      <c r="G44" t="s">
        <v>84</v>
      </c>
      <c r="H44" t="str">
        <f>VLOOKUP(Properties[[#This Row],[Landlord_ID]],Landlords[],2,FALSE)</f>
        <v>Landlord_17</v>
      </c>
      <c r="I44" t="str">
        <f>_xlfn.XLOOKUP(Properties[[#This Row],[Landlord_ID]],Landlords[Landlord_ID],Landlords[City])</f>
        <v>San Francisco</v>
      </c>
    </row>
    <row r="45" spans="1:9" x14ac:dyDescent="0.3">
      <c r="A45" t="s">
        <v>131</v>
      </c>
      <c r="B45" t="s">
        <v>75</v>
      </c>
      <c r="C45" t="s">
        <v>22</v>
      </c>
      <c r="D45">
        <v>3450</v>
      </c>
      <c r="E45" t="s">
        <v>83</v>
      </c>
      <c r="F45">
        <v>6142</v>
      </c>
      <c r="G45" t="s">
        <v>84</v>
      </c>
      <c r="H45" t="str">
        <f>VLOOKUP(Properties[[#This Row],[Landlord_ID]],Landlords[],2,FALSE)</f>
        <v>Landlord_30</v>
      </c>
      <c r="I45" t="str">
        <f>_xlfn.XLOOKUP(Properties[[#This Row],[Landlord_ID]],Landlords[Landlord_ID],Landlords[City])</f>
        <v>San Francisco</v>
      </c>
    </row>
    <row r="46" spans="1:9" x14ac:dyDescent="0.3">
      <c r="A46" t="s">
        <v>132</v>
      </c>
      <c r="B46" t="s">
        <v>42</v>
      </c>
      <c r="C46" t="s">
        <v>22</v>
      </c>
      <c r="D46">
        <v>3460</v>
      </c>
      <c r="E46" t="s">
        <v>89</v>
      </c>
      <c r="F46">
        <v>1687</v>
      </c>
      <c r="G46" t="s">
        <v>84</v>
      </c>
      <c r="H46" t="str">
        <f>VLOOKUP(Properties[[#This Row],[Landlord_ID]],Landlords[],2,FALSE)</f>
        <v>Landlord_14</v>
      </c>
      <c r="I46" t="str">
        <f>_xlfn.XLOOKUP(Properties[[#This Row],[Landlord_ID]],Landlords[Landlord_ID],Landlords[City])</f>
        <v>New York</v>
      </c>
    </row>
    <row r="47" spans="1:9" x14ac:dyDescent="0.3">
      <c r="A47" t="s">
        <v>133</v>
      </c>
      <c r="B47" t="s">
        <v>42</v>
      </c>
      <c r="C47" t="s">
        <v>22</v>
      </c>
      <c r="D47">
        <v>2578</v>
      </c>
      <c r="E47" t="s">
        <v>92</v>
      </c>
      <c r="F47">
        <v>3661</v>
      </c>
      <c r="G47" t="s">
        <v>86</v>
      </c>
      <c r="H47" t="str">
        <f>VLOOKUP(Properties[[#This Row],[Landlord_ID]],Landlords[],2,FALSE)</f>
        <v>Landlord_14</v>
      </c>
      <c r="I47" t="str">
        <f>_xlfn.XLOOKUP(Properties[[#This Row],[Landlord_ID]],Landlords[Landlord_ID],Landlords[City])</f>
        <v>New York</v>
      </c>
    </row>
    <row r="48" spans="1:9" x14ac:dyDescent="0.3">
      <c r="A48" t="s">
        <v>134</v>
      </c>
      <c r="B48" t="s">
        <v>40</v>
      </c>
      <c r="C48" t="s">
        <v>8</v>
      </c>
      <c r="D48">
        <v>853</v>
      </c>
      <c r="E48" t="s">
        <v>83</v>
      </c>
      <c r="F48">
        <v>7910</v>
      </c>
      <c r="G48" t="s">
        <v>86</v>
      </c>
      <c r="H48" t="str">
        <f>VLOOKUP(Properties[[#This Row],[Landlord_ID]],Landlords[],2,FALSE)</f>
        <v>Landlord_13</v>
      </c>
      <c r="I48" t="str">
        <f>_xlfn.XLOOKUP(Properties[[#This Row],[Landlord_ID]],Landlords[Landlord_ID],Landlords[City])</f>
        <v>San Francisco</v>
      </c>
    </row>
    <row r="49" spans="1:9" x14ac:dyDescent="0.3">
      <c r="A49" t="s">
        <v>135</v>
      </c>
      <c r="B49" t="s">
        <v>67</v>
      </c>
      <c r="C49" t="s">
        <v>8</v>
      </c>
      <c r="D49">
        <v>3083</v>
      </c>
      <c r="E49" t="s">
        <v>92</v>
      </c>
      <c r="F49">
        <v>7683</v>
      </c>
      <c r="G49" t="s">
        <v>84</v>
      </c>
      <c r="H49" t="str">
        <f>VLOOKUP(Properties[[#This Row],[Landlord_ID]],Landlords[],2,FALSE)</f>
        <v>Landlord_26</v>
      </c>
      <c r="I49" t="str">
        <f>_xlfn.XLOOKUP(Properties[[#This Row],[Landlord_ID]],Landlords[Landlord_ID],Landlords[City])</f>
        <v>Houston</v>
      </c>
    </row>
    <row r="50" spans="1:9" x14ac:dyDescent="0.3">
      <c r="A50" t="s">
        <v>136</v>
      </c>
      <c r="B50" t="s">
        <v>67</v>
      </c>
      <c r="C50" t="s">
        <v>22</v>
      </c>
      <c r="D50">
        <v>1953</v>
      </c>
      <c r="E50" t="s">
        <v>92</v>
      </c>
      <c r="F50">
        <v>4880</v>
      </c>
      <c r="G50" t="s">
        <v>86</v>
      </c>
      <c r="H50" t="str">
        <f>VLOOKUP(Properties[[#This Row],[Landlord_ID]],Landlords[],2,FALSE)</f>
        <v>Landlord_26</v>
      </c>
      <c r="I50" t="str">
        <f>_xlfn.XLOOKUP(Properties[[#This Row],[Landlord_ID]],Landlords[Landlord_ID],Landlords[City])</f>
        <v>Houston</v>
      </c>
    </row>
    <row r="51" spans="1:9" x14ac:dyDescent="0.3">
      <c r="A51" t="s">
        <v>137</v>
      </c>
      <c r="B51" t="s">
        <v>40</v>
      </c>
      <c r="C51" t="s">
        <v>22</v>
      </c>
      <c r="D51">
        <v>4585</v>
      </c>
      <c r="E51" t="s">
        <v>92</v>
      </c>
      <c r="F51">
        <v>3490</v>
      </c>
      <c r="G51" t="s">
        <v>84</v>
      </c>
      <c r="H51" t="str">
        <f>VLOOKUP(Properties[[#This Row],[Landlord_ID]],Landlords[],2,FALSE)</f>
        <v>Landlord_13</v>
      </c>
      <c r="I51" t="str">
        <f>_xlfn.XLOOKUP(Properties[[#This Row],[Landlord_ID]],Landlords[Landlord_ID],Landlords[City])</f>
        <v>San Francisco</v>
      </c>
    </row>
    <row r="52" spans="1:9" x14ac:dyDescent="0.3">
      <c r="A52" t="s">
        <v>138</v>
      </c>
      <c r="B52" t="s">
        <v>20</v>
      </c>
      <c r="C52" t="s">
        <v>8</v>
      </c>
      <c r="D52">
        <v>1929</v>
      </c>
      <c r="E52" t="s">
        <v>92</v>
      </c>
      <c r="F52">
        <v>2020</v>
      </c>
      <c r="G52" t="s">
        <v>84</v>
      </c>
      <c r="H52" t="str">
        <f>VLOOKUP(Properties[[#This Row],[Landlord_ID]],Landlords[],2,FALSE)</f>
        <v>Landlord_5</v>
      </c>
      <c r="I52" t="str">
        <f>_xlfn.XLOOKUP(Properties[[#This Row],[Landlord_ID]],Landlords[Landlord_ID],Landlords[City])</f>
        <v>Phoenix</v>
      </c>
    </row>
    <row r="53" spans="1:9" x14ac:dyDescent="0.3">
      <c r="A53" t="s">
        <v>139</v>
      </c>
      <c r="B53" t="s">
        <v>55</v>
      </c>
      <c r="C53" t="s">
        <v>8</v>
      </c>
      <c r="D53">
        <v>4027</v>
      </c>
      <c r="E53" t="s">
        <v>94</v>
      </c>
      <c r="F53">
        <v>1810</v>
      </c>
      <c r="G53" t="s">
        <v>84</v>
      </c>
      <c r="H53" t="str">
        <f>VLOOKUP(Properties[[#This Row],[Landlord_ID]],Landlords[],2,FALSE)</f>
        <v>Landlord_20</v>
      </c>
      <c r="I53" t="str">
        <f>_xlfn.XLOOKUP(Properties[[#This Row],[Landlord_ID]],Landlords[Landlord_ID],Landlords[City])</f>
        <v>Houston</v>
      </c>
    </row>
    <row r="54" spans="1:9" x14ac:dyDescent="0.3">
      <c r="A54" t="s">
        <v>140</v>
      </c>
      <c r="B54" t="s">
        <v>31</v>
      </c>
      <c r="C54" t="s">
        <v>8</v>
      </c>
      <c r="D54">
        <v>2672</v>
      </c>
      <c r="E54" t="s">
        <v>92</v>
      </c>
      <c r="F54">
        <v>2828</v>
      </c>
      <c r="G54" t="s">
        <v>86</v>
      </c>
      <c r="H54" t="str">
        <f>VLOOKUP(Properties[[#This Row],[Landlord_ID]],Landlords[],2,FALSE)</f>
        <v>Landlord_9</v>
      </c>
      <c r="I54" t="str">
        <f>_xlfn.XLOOKUP(Properties[[#This Row],[Landlord_ID]],Landlords[Landlord_ID],Landlords[City])</f>
        <v>Los Angeles</v>
      </c>
    </row>
    <row r="55" spans="1:9" x14ac:dyDescent="0.3">
      <c r="A55" t="s">
        <v>141</v>
      </c>
      <c r="B55" t="s">
        <v>34</v>
      </c>
      <c r="C55" t="s">
        <v>8</v>
      </c>
      <c r="D55">
        <v>3095</v>
      </c>
      <c r="E55" t="s">
        <v>89</v>
      </c>
      <c r="F55">
        <v>3945</v>
      </c>
      <c r="G55" t="s">
        <v>84</v>
      </c>
      <c r="H55" t="str">
        <f>VLOOKUP(Properties[[#This Row],[Landlord_ID]],Landlords[],2,FALSE)</f>
        <v>Landlord_10</v>
      </c>
      <c r="I55" t="str">
        <f>_xlfn.XLOOKUP(Properties[[#This Row],[Landlord_ID]],Landlords[Landlord_ID],Landlords[City])</f>
        <v>New York</v>
      </c>
    </row>
    <row r="56" spans="1:9" x14ac:dyDescent="0.3">
      <c r="A56" t="s">
        <v>142</v>
      </c>
      <c r="B56" t="s">
        <v>36</v>
      </c>
      <c r="C56" t="s">
        <v>22</v>
      </c>
      <c r="D56">
        <v>2211</v>
      </c>
      <c r="E56" t="s">
        <v>83</v>
      </c>
      <c r="F56">
        <v>3823</v>
      </c>
      <c r="G56" t="s">
        <v>84</v>
      </c>
      <c r="H56" t="str">
        <f>VLOOKUP(Properties[[#This Row],[Landlord_ID]],Landlords[],2,FALSE)</f>
        <v>Landlord_11</v>
      </c>
      <c r="I56" t="str">
        <f>_xlfn.XLOOKUP(Properties[[#This Row],[Landlord_ID]],Landlords[Landlord_ID],Landlords[City])</f>
        <v>Phoenix</v>
      </c>
    </row>
    <row r="57" spans="1:9" x14ac:dyDescent="0.3">
      <c r="A57" t="s">
        <v>143</v>
      </c>
      <c r="B57" t="s">
        <v>46</v>
      </c>
      <c r="C57" t="s">
        <v>22</v>
      </c>
      <c r="D57">
        <v>1298</v>
      </c>
      <c r="E57" t="s">
        <v>89</v>
      </c>
      <c r="F57">
        <v>7520</v>
      </c>
      <c r="G57" t="s">
        <v>84</v>
      </c>
      <c r="H57" t="str">
        <f>VLOOKUP(Properties[[#This Row],[Landlord_ID]],Landlords[],2,FALSE)</f>
        <v>Landlord_16</v>
      </c>
      <c r="I57" t="str">
        <f>_xlfn.XLOOKUP(Properties[[#This Row],[Landlord_ID]],Landlords[Landlord_ID],Landlords[City])</f>
        <v>Chicago</v>
      </c>
    </row>
    <row r="58" spans="1:9" x14ac:dyDescent="0.3">
      <c r="A58" t="s">
        <v>144</v>
      </c>
      <c r="B58" t="s">
        <v>29</v>
      </c>
      <c r="C58" t="s">
        <v>22</v>
      </c>
      <c r="D58">
        <v>2597</v>
      </c>
      <c r="E58" t="s">
        <v>92</v>
      </c>
      <c r="F58">
        <v>3550</v>
      </c>
      <c r="G58" t="s">
        <v>86</v>
      </c>
      <c r="H58" t="str">
        <f>VLOOKUP(Properties[[#This Row],[Landlord_ID]],Landlords[],2,FALSE)</f>
        <v>Landlord_8</v>
      </c>
      <c r="I58" t="str">
        <f>_xlfn.XLOOKUP(Properties[[#This Row],[Landlord_ID]],Landlords[Landlord_ID],Landlords[City])</f>
        <v>Houston</v>
      </c>
    </row>
    <row r="59" spans="1:9" x14ac:dyDescent="0.3">
      <c r="A59" t="s">
        <v>145</v>
      </c>
      <c r="B59" t="s">
        <v>26</v>
      </c>
      <c r="C59" t="s">
        <v>22</v>
      </c>
      <c r="D59">
        <v>1345</v>
      </c>
      <c r="E59" t="s">
        <v>89</v>
      </c>
      <c r="F59">
        <v>1367</v>
      </c>
      <c r="G59" t="s">
        <v>84</v>
      </c>
      <c r="H59" t="str">
        <f>VLOOKUP(Properties[[#This Row],[Landlord_ID]],Landlords[],2,FALSE)</f>
        <v>Landlord_7</v>
      </c>
      <c r="I59" t="str">
        <f>_xlfn.XLOOKUP(Properties[[#This Row],[Landlord_ID]],Landlords[Landlord_ID],Landlords[City])</f>
        <v>Boston</v>
      </c>
    </row>
    <row r="60" spans="1:9" x14ac:dyDescent="0.3">
      <c r="A60" t="s">
        <v>146</v>
      </c>
      <c r="B60" t="s">
        <v>6</v>
      </c>
      <c r="C60" t="s">
        <v>22</v>
      </c>
      <c r="D60">
        <v>2034</v>
      </c>
      <c r="E60" t="s">
        <v>94</v>
      </c>
      <c r="F60">
        <v>3153</v>
      </c>
      <c r="G60" t="s">
        <v>84</v>
      </c>
      <c r="H60" t="str">
        <f>VLOOKUP(Properties[[#This Row],[Landlord_ID]],Landlords[],2,FALSE)</f>
        <v>Landlord_1</v>
      </c>
      <c r="I60" t="str">
        <f>_xlfn.XLOOKUP(Properties[[#This Row],[Landlord_ID]],Landlords[Landlord_ID],Landlords[City])</f>
        <v>San Francisco</v>
      </c>
    </row>
    <row r="61" spans="1:9" x14ac:dyDescent="0.3">
      <c r="A61" t="s">
        <v>147</v>
      </c>
      <c r="B61" t="s">
        <v>36</v>
      </c>
      <c r="C61" t="s">
        <v>8</v>
      </c>
      <c r="D61">
        <v>3297</v>
      </c>
      <c r="E61" t="s">
        <v>92</v>
      </c>
      <c r="F61">
        <v>5675</v>
      </c>
      <c r="G61" t="s">
        <v>84</v>
      </c>
      <c r="H61" t="str">
        <f>VLOOKUP(Properties[[#This Row],[Landlord_ID]],Landlords[],2,FALSE)</f>
        <v>Landlord_11</v>
      </c>
      <c r="I61" t="str">
        <f>_xlfn.XLOOKUP(Properties[[#This Row],[Landlord_ID]],Landlords[Landlord_ID],Landlords[City])</f>
        <v>Phoenix</v>
      </c>
    </row>
    <row r="62" spans="1:9" x14ac:dyDescent="0.3">
      <c r="A62" t="s">
        <v>148</v>
      </c>
      <c r="B62" t="s">
        <v>55</v>
      </c>
      <c r="C62" t="s">
        <v>8</v>
      </c>
      <c r="D62">
        <v>4191</v>
      </c>
      <c r="E62" t="s">
        <v>89</v>
      </c>
      <c r="F62">
        <v>4685</v>
      </c>
      <c r="G62" t="s">
        <v>86</v>
      </c>
      <c r="H62" t="str">
        <f>VLOOKUP(Properties[[#This Row],[Landlord_ID]],Landlords[],2,FALSE)</f>
        <v>Landlord_20</v>
      </c>
      <c r="I62" t="str">
        <f>_xlfn.XLOOKUP(Properties[[#This Row],[Landlord_ID]],Landlords[Landlord_ID],Landlords[City])</f>
        <v>Houston</v>
      </c>
    </row>
    <row r="63" spans="1:9" x14ac:dyDescent="0.3">
      <c r="A63" t="s">
        <v>149</v>
      </c>
      <c r="B63" t="s">
        <v>31</v>
      </c>
      <c r="C63" t="s">
        <v>8</v>
      </c>
      <c r="D63">
        <v>2025</v>
      </c>
      <c r="E63" t="s">
        <v>92</v>
      </c>
      <c r="F63">
        <v>2947</v>
      </c>
      <c r="G63" t="s">
        <v>84</v>
      </c>
      <c r="H63" t="str">
        <f>VLOOKUP(Properties[[#This Row],[Landlord_ID]],Landlords[],2,FALSE)</f>
        <v>Landlord_9</v>
      </c>
      <c r="I63" t="str">
        <f>_xlfn.XLOOKUP(Properties[[#This Row],[Landlord_ID]],Landlords[Landlord_ID],Landlords[City])</f>
        <v>Los Angeles</v>
      </c>
    </row>
    <row r="64" spans="1:9" x14ac:dyDescent="0.3">
      <c r="A64" t="s">
        <v>150</v>
      </c>
      <c r="B64" t="s">
        <v>71</v>
      </c>
      <c r="C64" t="s">
        <v>22</v>
      </c>
      <c r="D64">
        <v>1211</v>
      </c>
      <c r="E64" t="s">
        <v>89</v>
      </c>
      <c r="F64">
        <v>5355</v>
      </c>
      <c r="G64" t="s">
        <v>84</v>
      </c>
      <c r="H64" t="str">
        <f>VLOOKUP(Properties[[#This Row],[Landlord_ID]],Landlords[],2,FALSE)</f>
        <v>Landlord_28</v>
      </c>
      <c r="I64" t="str">
        <f>_xlfn.XLOOKUP(Properties[[#This Row],[Landlord_ID]],Landlords[Landlord_ID],Landlords[City])</f>
        <v>New York</v>
      </c>
    </row>
    <row r="65" spans="1:9" x14ac:dyDescent="0.3">
      <c r="A65" t="s">
        <v>151</v>
      </c>
      <c r="B65" t="s">
        <v>40</v>
      </c>
      <c r="C65" t="s">
        <v>8</v>
      </c>
      <c r="D65">
        <v>3116</v>
      </c>
      <c r="E65" t="s">
        <v>92</v>
      </c>
      <c r="F65">
        <v>7405</v>
      </c>
      <c r="G65" t="s">
        <v>84</v>
      </c>
      <c r="H65" t="str">
        <f>VLOOKUP(Properties[[#This Row],[Landlord_ID]],Landlords[],2,FALSE)</f>
        <v>Landlord_13</v>
      </c>
      <c r="I65" t="str">
        <f>_xlfn.XLOOKUP(Properties[[#This Row],[Landlord_ID]],Landlords[Landlord_ID],Landlords[City])</f>
        <v>San Francisco</v>
      </c>
    </row>
    <row r="66" spans="1:9" x14ac:dyDescent="0.3">
      <c r="A66" t="s">
        <v>152</v>
      </c>
      <c r="B66" t="s">
        <v>67</v>
      </c>
      <c r="C66" t="s">
        <v>22</v>
      </c>
      <c r="D66">
        <v>2106</v>
      </c>
      <c r="E66" t="s">
        <v>94</v>
      </c>
      <c r="F66">
        <v>3972</v>
      </c>
      <c r="G66" t="s">
        <v>84</v>
      </c>
      <c r="H66" t="str">
        <f>VLOOKUP(Properties[[#This Row],[Landlord_ID]],Landlords[],2,FALSE)</f>
        <v>Landlord_26</v>
      </c>
      <c r="I66" t="str">
        <f>_xlfn.XLOOKUP(Properties[[#This Row],[Landlord_ID]],Landlords[Landlord_ID],Landlords[City])</f>
        <v>Houston</v>
      </c>
    </row>
    <row r="67" spans="1:9" x14ac:dyDescent="0.3">
      <c r="A67" t="s">
        <v>153</v>
      </c>
      <c r="B67" t="s">
        <v>73</v>
      </c>
      <c r="C67" t="s">
        <v>8</v>
      </c>
      <c r="D67">
        <v>4398</v>
      </c>
      <c r="E67" t="s">
        <v>89</v>
      </c>
      <c r="F67">
        <v>7677</v>
      </c>
      <c r="G67" t="s">
        <v>86</v>
      </c>
      <c r="H67" t="str">
        <f>VLOOKUP(Properties[[#This Row],[Landlord_ID]],Landlords[],2,FALSE)</f>
        <v>Landlord_29</v>
      </c>
      <c r="I67" t="str">
        <f>_xlfn.XLOOKUP(Properties[[#This Row],[Landlord_ID]],Landlords[Landlord_ID],Landlords[City])</f>
        <v>San Francisco</v>
      </c>
    </row>
    <row r="68" spans="1:9" x14ac:dyDescent="0.3">
      <c r="A68" t="s">
        <v>154</v>
      </c>
      <c r="B68" t="s">
        <v>14</v>
      </c>
      <c r="C68" t="s">
        <v>22</v>
      </c>
      <c r="D68">
        <v>3745</v>
      </c>
      <c r="E68" t="s">
        <v>83</v>
      </c>
      <c r="F68">
        <v>5925</v>
      </c>
      <c r="G68" t="s">
        <v>86</v>
      </c>
      <c r="H68" t="str">
        <f>VLOOKUP(Properties[[#This Row],[Landlord_ID]],Landlords[],2,FALSE)</f>
        <v>Landlord_3</v>
      </c>
      <c r="I68" t="str">
        <f>_xlfn.XLOOKUP(Properties[[#This Row],[Landlord_ID]],Landlords[Landlord_ID],Landlords[City])</f>
        <v>Houston</v>
      </c>
    </row>
    <row r="69" spans="1:9" x14ac:dyDescent="0.3">
      <c r="A69" t="s">
        <v>155</v>
      </c>
      <c r="B69" t="s">
        <v>44</v>
      </c>
      <c r="C69" t="s">
        <v>22</v>
      </c>
      <c r="D69">
        <v>4765</v>
      </c>
      <c r="E69" t="s">
        <v>94</v>
      </c>
      <c r="F69">
        <v>3026</v>
      </c>
      <c r="G69" t="s">
        <v>84</v>
      </c>
      <c r="H69" t="str">
        <f>VLOOKUP(Properties[[#This Row],[Landlord_ID]],Landlords[],2,FALSE)</f>
        <v>Landlord_15</v>
      </c>
      <c r="I69" t="str">
        <f>_xlfn.XLOOKUP(Properties[[#This Row],[Landlord_ID]],Landlords[Landlord_ID],Landlords[City])</f>
        <v>Houston</v>
      </c>
    </row>
    <row r="70" spans="1:9" x14ac:dyDescent="0.3">
      <c r="A70" t="s">
        <v>156</v>
      </c>
      <c r="B70" t="s">
        <v>40</v>
      </c>
      <c r="C70" t="s">
        <v>22</v>
      </c>
      <c r="D70">
        <v>4753</v>
      </c>
      <c r="E70" t="s">
        <v>83</v>
      </c>
      <c r="F70">
        <v>1212</v>
      </c>
      <c r="G70" t="s">
        <v>86</v>
      </c>
      <c r="H70" t="str">
        <f>VLOOKUP(Properties[[#This Row],[Landlord_ID]],Landlords[],2,FALSE)</f>
        <v>Landlord_13</v>
      </c>
      <c r="I70" t="str">
        <f>_xlfn.XLOOKUP(Properties[[#This Row],[Landlord_ID]],Landlords[Landlord_ID],Landlords[City])</f>
        <v>San Francisco</v>
      </c>
    </row>
    <row r="71" spans="1:9" x14ac:dyDescent="0.3">
      <c r="A71" t="s">
        <v>157</v>
      </c>
      <c r="B71" t="s">
        <v>26</v>
      </c>
      <c r="C71" t="s">
        <v>8</v>
      </c>
      <c r="D71">
        <v>1657</v>
      </c>
      <c r="E71" t="s">
        <v>92</v>
      </c>
      <c r="F71">
        <v>2735</v>
      </c>
      <c r="G71" t="s">
        <v>86</v>
      </c>
      <c r="H71" t="str">
        <f>VLOOKUP(Properties[[#This Row],[Landlord_ID]],Landlords[],2,FALSE)</f>
        <v>Landlord_7</v>
      </c>
      <c r="I71" t="str">
        <f>_xlfn.XLOOKUP(Properties[[#This Row],[Landlord_ID]],Landlords[Landlord_ID],Landlords[City])</f>
        <v>Boston</v>
      </c>
    </row>
    <row r="72" spans="1:9" x14ac:dyDescent="0.3">
      <c r="A72" t="s">
        <v>158</v>
      </c>
      <c r="B72" t="s">
        <v>17</v>
      </c>
      <c r="C72" t="s">
        <v>8</v>
      </c>
      <c r="D72">
        <v>4276</v>
      </c>
      <c r="E72" t="s">
        <v>94</v>
      </c>
      <c r="F72">
        <v>5943</v>
      </c>
      <c r="G72" t="s">
        <v>86</v>
      </c>
      <c r="H72" t="str">
        <f>VLOOKUP(Properties[[#This Row],[Landlord_ID]],Landlords[],2,FALSE)</f>
        <v>Landlord_4</v>
      </c>
      <c r="I72" t="str">
        <f>_xlfn.XLOOKUP(Properties[[#This Row],[Landlord_ID]],Landlords[Landlord_ID],Landlords[City])</f>
        <v>New York</v>
      </c>
    </row>
    <row r="73" spans="1:9" x14ac:dyDescent="0.3">
      <c r="A73" t="s">
        <v>159</v>
      </c>
      <c r="B73" t="s">
        <v>20</v>
      </c>
      <c r="C73" t="s">
        <v>22</v>
      </c>
      <c r="D73">
        <v>1890</v>
      </c>
      <c r="E73" t="s">
        <v>83</v>
      </c>
      <c r="F73">
        <v>2446</v>
      </c>
      <c r="G73" t="s">
        <v>84</v>
      </c>
      <c r="H73" t="str">
        <f>VLOOKUP(Properties[[#This Row],[Landlord_ID]],Landlords[],2,FALSE)</f>
        <v>Landlord_5</v>
      </c>
      <c r="I73" t="str">
        <f>_xlfn.XLOOKUP(Properties[[#This Row],[Landlord_ID]],Landlords[Landlord_ID],Landlords[City])</f>
        <v>Phoenix</v>
      </c>
    </row>
    <row r="74" spans="1:9" x14ac:dyDescent="0.3">
      <c r="A74" t="s">
        <v>160</v>
      </c>
      <c r="B74" t="s">
        <v>31</v>
      </c>
      <c r="C74" t="s">
        <v>8</v>
      </c>
      <c r="D74">
        <v>3859</v>
      </c>
      <c r="E74" t="s">
        <v>92</v>
      </c>
      <c r="F74">
        <v>4110</v>
      </c>
      <c r="G74" t="s">
        <v>86</v>
      </c>
      <c r="H74" t="str">
        <f>VLOOKUP(Properties[[#This Row],[Landlord_ID]],Landlords[],2,FALSE)</f>
        <v>Landlord_9</v>
      </c>
      <c r="I74" t="str">
        <f>_xlfn.XLOOKUP(Properties[[#This Row],[Landlord_ID]],Landlords[Landlord_ID],Landlords[City])</f>
        <v>Los Angeles</v>
      </c>
    </row>
    <row r="75" spans="1:9" x14ac:dyDescent="0.3">
      <c r="A75" t="s">
        <v>161</v>
      </c>
      <c r="B75" t="s">
        <v>26</v>
      </c>
      <c r="C75" t="s">
        <v>22</v>
      </c>
      <c r="D75">
        <v>1272</v>
      </c>
      <c r="E75" t="s">
        <v>92</v>
      </c>
      <c r="F75">
        <v>7637</v>
      </c>
      <c r="G75" t="s">
        <v>84</v>
      </c>
      <c r="H75" t="str">
        <f>VLOOKUP(Properties[[#This Row],[Landlord_ID]],Landlords[],2,FALSE)</f>
        <v>Landlord_7</v>
      </c>
      <c r="I75" t="str">
        <f>_xlfn.XLOOKUP(Properties[[#This Row],[Landlord_ID]],Landlords[Landlord_ID],Landlords[City])</f>
        <v>Boston</v>
      </c>
    </row>
    <row r="76" spans="1:9" x14ac:dyDescent="0.3">
      <c r="A76" t="s">
        <v>162</v>
      </c>
      <c r="B76" t="s">
        <v>14</v>
      </c>
      <c r="C76" t="s">
        <v>8</v>
      </c>
      <c r="D76">
        <v>3184</v>
      </c>
      <c r="E76" t="s">
        <v>92</v>
      </c>
      <c r="F76">
        <v>6177</v>
      </c>
      <c r="G76" t="s">
        <v>86</v>
      </c>
      <c r="H76" t="str">
        <f>VLOOKUP(Properties[[#This Row],[Landlord_ID]],Landlords[],2,FALSE)</f>
        <v>Landlord_3</v>
      </c>
      <c r="I76" t="str">
        <f>_xlfn.XLOOKUP(Properties[[#This Row],[Landlord_ID]],Landlords[Landlord_ID],Landlords[City])</f>
        <v>Houston</v>
      </c>
    </row>
    <row r="77" spans="1:9" x14ac:dyDescent="0.3">
      <c r="A77" t="s">
        <v>163</v>
      </c>
      <c r="B77" t="s">
        <v>73</v>
      </c>
      <c r="C77" t="s">
        <v>22</v>
      </c>
      <c r="D77">
        <v>1722</v>
      </c>
      <c r="E77" t="s">
        <v>89</v>
      </c>
      <c r="F77">
        <v>4669</v>
      </c>
      <c r="G77" t="s">
        <v>86</v>
      </c>
      <c r="H77" t="str">
        <f>VLOOKUP(Properties[[#This Row],[Landlord_ID]],Landlords[],2,FALSE)</f>
        <v>Landlord_29</v>
      </c>
      <c r="I77" t="str">
        <f>_xlfn.XLOOKUP(Properties[[#This Row],[Landlord_ID]],Landlords[Landlord_ID],Landlords[City])</f>
        <v>San Francisco</v>
      </c>
    </row>
    <row r="78" spans="1:9" x14ac:dyDescent="0.3">
      <c r="A78" t="s">
        <v>164</v>
      </c>
      <c r="B78" t="s">
        <v>73</v>
      </c>
      <c r="C78" t="s">
        <v>22</v>
      </c>
      <c r="D78">
        <v>2575</v>
      </c>
      <c r="E78" t="s">
        <v>89</v>
      </c>
      <c r="F78">
        <v>6798</v>
      </c>
      <c r="G78" t="s">
        <v>84</v>
      </c>
      <c r="H78" t="str">
        <f>VLOOKUP(Properties[[#This Row],[Landlord_ID]],Landlords[],2,FALSE)</f>
        <v>Landlord_29</v>
      </c>
      <c r="I78" t="str">
        <f>_xlfn.XLOOKUP(Properties[[#This Row],[Landlord_ID]],Landlords[Landlord_ID],Landlords[City])</f>
        <v>San Francisco</v>
      </c>
    </row>
    <row r="79" spans="1:9" x14ac:dyDescent="0.3">
      <c r="A79" t="s">
        <v>165</v>
      </c>
      <c r="B79" t="s">
        <v>65</v>
      </c>
      <c r="C79" t="s">
        <v>8</v>
      </c>
      <c r="D79">
        <v>911</v>
      </c>
      <c r="E79" t="s">
        <v>89</v>
      </c>
      <c r="F79">
        <v>7540</v>
      </c>
      <c r="G79" t="s">
        <v>86</v>
      </c>
      <c r="H79" t="str">
        <f>VLOOKUP(Properties[[#This Row],[Landlord_ID]],Landlords[],2,FALSE)</f>
        <v>Landlord_25</v>
      </c>
      <c r="I79" t="str">
        <f>_xlfn.XLOOKUP(Properties[[#This Row],[Landlord_ID]],Landlords[Landlord_ID],Landlords[City])</f>
        <v>San Francisco</v>
      </c>
    </row>
    <row r="80" spans="1:9" x14ac:dyDescent="0.3">
      <c r="A80" t="s">
        <v>166</v>
      </c>
      <c r="B80" t="s">
        <v>55</v>
      </c>
      <c r="C80" t="s">
        <v>8</v>
      </c>
      <c r="D80">
        <v>2275</v>
      </c>
      <c r="E80" t="s">
        <v>92</v>
      </c>
      <c r="F80">
        <v>5613</v>
      </c>
      <c r="G80" t="s">
        <v>84</v>
      </c>
      <c r="H80" t="str">
        <f>VLOOKUP(Properties[[#This Row],[Landlord_ID]],Landlords[],2,FALSE)</f>
        <v>Landlord_20</v>
      </c>
      <c r="I80" t="str">
        <f>_xlfn.XLOOKUP(Properties[[#This Row],[Landlord_ID]],Landlords[Landlord_ID],Landlords[City])</f>
        <v>Houston</v>
      </c>
    </row>
    <row r="81" spans="1:9" x14ac:dyDescent="0.3">
      <c r="A81" t="s">
        <v>167</v>
      </c>
      <c r="B81" t="s">
        <v>75</v>
      </c>
      <c r="C81" t="s">
        <v>8</v>
      </c>
      <c r="D81">
        <v>3494</v>
      </c>
      <c r="E81" t="s">
        <v>92</v>
      </c>
      <c r="F81">
        <v>3576</v>
      </c>
      <c r="G81" t="s">
        <v>84</v>
      </c>
      <c r="H81" t="str">
        <f>VLOOKUP(Properties[[#This Row],[Landlord_ID]],Landlords[],2,FALSE)</f>
        <v>Landlord_30</v>
      </c>
      <c r="I81" t="str">
        <f>_xlfn.XLOOKUP(Properties[[#This Row],[Landlord_ID]],Landlords[Landlord_ID],Landlords[City])</f>
        <v>San Francisco</v>
      </c>
    </row>
    <row r="82" spans="1:9" x14ac:dyDescent="0.3">
      <c r="A82" t="s">
        <v>168</v>
      </c>
      <c r="B82" t="s">
        <v>42</v>
      </c>
      <c r="C82" t="s">
        <v>22</v>
      </c>
      <c r="D82">
        <v>4423</v>
      </c>
      <c r="E82" t="s">
        <v>83</v>
      </c>
      <c r="F82">
        <v>7652</v>
      </c>
      <c r="G82" t="s">
        <v>84</v>
      </c>
      <c r="H82" t="str">
        <f>VLOOKUP(Properties[[#This Row],[Landlord_ID]],Landlords[],2,FALSE)</f>
        <v>Landlord_14</v>
      </c>
      <c r="I82" t="str">
        <f>_xlfn.XLOOKUP(Properties[[#This Row],[Landlord_ID]],Landlords[Landlord_ID],Landlords[City])</f>
        <v>New York</v>
      </c>
    </row>
    <row r="83" spans="1:9" x14ac:dyDescent="0.3">
      <c r="A83" t="s">
        <v>169</v>
      </c>
      <c r="B83" t="s">
        <v>65</v>
      </c>
      <c r="C83" t="s">
        <v>8</v>
      </c>
      <c r="D83">
        <v>1691</v>
      </c>
      <c r="E83" t="s">
        <v>94</v>
      </c>
      <c r="F83">
        <v>7953</v>
      </c>
      <c r="G83" t="s">
        <v>86</v>
      </c>
      <c r="H83" t="str">
        <f>VLOOKUP(Properties[[#This Row],[Landlord_ID]],Landlords[],2,FALSE)</f>
        <v>Landlord_25</v>
      </c>
      <c r="I83" t="str">
        <f>_xlfn.XLOOKUP(Properties[[#This Row],[Landlord_ID]],Landlords[Landlord_ID],Landlords[City])</f>
        <v>San Francisco</v>
      </c>
    </row>
    <row r="84" spans="1:9" x14ac:dyDescent="0.3">
      <c r="A84" t="s">
        <v>170</v>
      </c>
      <c r="B84" t="s">
        <v>11</v>
      </c>
      <c r="C84" t="s">
        <v>22</v>
      </c>
      <c r="D84">
        <v>3814</v>
      </c>
      <c r="E84" t="s">
        <v>92</v>
      </c>
      <c r="F84">
        <v>6862</v>
      </c>
      <c r="G84" t="s">
        <v>86</v>
      </c>
      <c r="H84" t="str">
        <f>VLOOKUP(Properties[[#This Row],[Landlord_ID]],Landlords[],2,FALSE)</f>
        <v>Landlord_2</v>
      </c>
      <c r="I84" t="str">
        <f>_xlfn.XLOOKUP(Properties[[#This Row],[Landlord_ID]],Landlords[Landlord_ID],Landlords[City])</f>
        <v>New York</v>
      </c>
    </row>
    <row r="85" spans="1:9" x14ac:dyDescent="0.3">
      <c r="A85" t="s">
        <v>171</v>
      </c>
      <c r="B85" t="s">
        <v>14</v>
      </c>
      <c r="C85" t="s">
        <v>8</v>
      </c>
      <c r="D85">
        <v>717</v>
      </c>
      <c r="E85" t="s">
        <v>94</v>
      </c>
      <c r="F85">
        <v>7898</v>
      </c>
      <c r="G85" t="s">
        <v>84</v>
      </c>
      <c r="H85" t="str">
        <f>VLOOKUP(Properties[[#This Row],[Landlord_ID]],Landlords[],2,FALSE)</f>
        <v>Landlord_3</v>
      </c>
      <c r="I85" t="str">
        <f>_xlfn.XLOOKUP(Properties[[#This Row],[Landlord_ID]],Landlords[Landlord_ID],Landlords[City])</f>
        <v>Houston</v>
      </c>
    </row>
    <row r="86" spans="1:9" x14ac:dyDescent="0.3">
      <c r="A86" t="s">
        <v>172</v>
      </c>
      <c r="B86" t="s">
        <v>55</v>
      </c>
      <c r="C86" t="s">
        <v>8</v>
      </c>
      <c r="D86">
        <v>4550</v>
      </c>
      <c r="E86" t="s">
        <v>94</v>
      </c>
      <c r="F86">
        <v>1259</v>
      </c>
      <c r="G86" t="s">
        <v>86</v>
      </c>
      <c r="H86" t="str">
        <f>VLOOKUP(Properties[[#This Row],[Landlord_ID]],Landlords[],2,FALSE)</f>
        <v>Landlord_20</v>
      </c>
      <c r="I86" t="str">
        <f>_xlfn.XLOOKUP(Properties[[#This Row],[Landlord_ID]],Landlords[Landlord_ID],Landlords[City])</f>
        <v>Houston</v>
      </c>
    </row>
    <row r="87" spans="1:9" x14ac:dyDescent="0.3">
      <c r="A87" t="s">
        <v>173</v>
      </c>
      <c r="B87" t="s">
        <v>36</v>
      </c>
      <c r="C87" t="s">
        <v>8</v>
      </c>
      <c r="D87">
        <v>2279</v>
      </c>
      <c r="E87" t="s">
        <v>92</v>
      </c>
      <c r="F87">
        <v>4746</v>
      </c>
      <c r="G87" t="s">
        <v>86</v>
      </c>
      <c r="H87" t="str">
        <f>VLOOKUP(Properties[[#This Row],[Landlord_ID]],Landlords[],2,FALSE)</f>
        <v>Landlord_11</v>
      </c>
      <c r="I87" t="str">
        <f>_xlfn.XLOOKUP(Properties[[#This Row],[Landlord_ID]],Landlords[Landlord_ID],Landlords[City])</f>
        <v>Phoenix</v>
      </c>
    </row>
    <row r="88" spans="1:9" x14ac:dyDescent="0.3">
      <c r="A88" t="s">
        <v>174</v>
      </c>
      <c r="B88" t="s">
        <v>59</v>
      </c>
      <c r="C88" t="s">
        <v>22</v>
      </c>
      <c r="D88">
        <v>1759</v>
      </c>
      <c r="E88" t="s">
        <v>92</v>
      </c>
      <c r="F88">
        <v>7094</v>
      </c>
      <c r="G88" t="s">
        <v>86</v>
      </c>
      <c r="H88" t="str">
        <f>VLOOKUP(Properties[[#This Row],[Landlord_ID]],Landlords[],2,FALSE)</f>
        <v>Landlord_22</v>
      </c>
      <c r="I88" t="str">
        <f>_xlfn.XLOOKUP(Properties[[#This Row],[Landlord_ID]],Landlords[Landlord_ID],Landlords[City])</f>
        <v>Boston</v>
      </c>
    </row>
    <row r="89" spans="1:9" x14ac:dyDescent="0.3">
      <c r="A89" t="s">
        <v>175</v>
      </c>
      <c r="B89" t="s">
        <v>67</v>
      </c>
      <c r="C89" t="s">
        <v>22</v>
      </c>
      <c r="D89">
        <v>4796</v>
      </c>
      <c r="E89" t="s">
        <v>92</v>
      </c>
      <c r="F89">
        <v>5658</v>
      </c>
      <c r="G89" t="s">
        <v>84</v>
      </c>
      <c r="H89" t="str">
        <f>VLOOKUP(Properties[[#This Row],[Landlord_ID]],Landlords[],2,FALSE)</f>
        <v>Landlord_26</v>
      </c>
      <c r="I89" t="str">
        <f>_xlfn.XLOOKUP(Properties[[#This Row],[Landlord_ID]],Landlords[Landlord_ID],Landlords[City])</f>
        <v>Houston</v>
      </c>
    </row>
    <row r="90" spans="1:9" x14ac:dyDescent="0.3">
      <c r="A90" t="s">
        <v>176</v>
      </c>
      <c r="B90" t="s">
        <v>6</v>
      </c>
      <c r="C90" t="s">
        <v>8</v>
      </c>
      <c r="D90">
        <v>1697</v>
      </c>
      <c r="E90" t="s">
        <v>94</v>
      </c>
      <c r="F90">
        <v>1668</v>
      </c>
      <c r="G90" t="s">
        <v>84</v>
      </c>
      <c r="H90" t="str">
        <f>VLOOKUP(Properties[[#This Row],[Landlord_ID]],Landlords[],2,FALSE)</f>
        <v>Landlord_1</v>
      </c>
      <c r="I90" t="str">
        <f>_xlfn.XLOOKUP(Properties[[#This Row],[Landlord_ID]],Landlords[Landlord_ID],Landlords[City])</f>
        <v>San Francisco</v>
      </c>
    </row>
    <row r="91" spans="1:9" x14ac:dyDescent="0.3">
      <c r="A91" t="s">
        <v>177</v>
      </c>
      <c r="B91" t="s">
        <v>14</v>
      </c>
      <c r="C91" t="s">
        <v>8</v>
      </c>
      <c r="D91">
        <v>3817</v>
      </c>
      <c r="E91" t="s">
        <v>83</v>
      </c>
      <c r="F91">
        <v>4067</v>
      </c>
      <c r="G91" t="s">
        <v>86</v>
      </c>
      <c r="H91" t="str">
        <f>VLOOKUP(Properties[[#This Row],[Landlord_ID]],Landlords[],2,FALSE)</f>
        <v>Landlord_3</v>
      </c>
      <c r="I91" t="str">
        <f>_xlfn.XLOOKUP(Properties[[#This Row],[Landlord_ID]],Landlords[Landlord_ID],Landlords[City])</f>
        <v>Houston</v>
      </c>
    </row>
    <row r="92" spans="1:9" x14ac:dyDescent="0.3">
      <c r="A92" t="s">
        <v>178</v>
      </c>
      <c r="B92" t="s">
        <v>55</v>
      </c>
      <c r="C92" t="s">
        <v>22</v>
      </c>
      <c r="D92">
        <v>2836</v>
      </c>
      <c r="E92" t="s">
        <v>94</v>
      </c>
      <c r="F92">
        <v>3506</v>
      </c>
      <c r="G92" t="s">
        <v>84</v>
      </c>
      <c r="H92" t="str">
        <f>VLOOKUP(Properties[[#This Row],[Landlord_ID]],Landlords[],2,FALSE)</f>
        <v>Landlord_20</v>
      </c>
      <c r="I92" t="str">
        <f>_xlfn.XLOOKUP(Properties[[#This Row],[Landlord_ID]],Landlords[Landlord_ID],Landlords[City])</f>
        <v>Houston</v>
      </c>
    </row>
    <row r="93" spans="1:9" x14ac:dyDescent="0.3">
      <c r="A93" t="s">
        <v>179</v>
      </c>
      <c r="B93" t="s">
        <v>53</v>
      </c>
      <c r="C93" t="s">
        <v>8</v>
      </c>
      <c r="D93">
        <v>4149</v>
      </c>
      <c r="E93" t="s">
        <v>83</v>
      </c>
      <c r="F93">
        <v>1834</v>
      </c>
      <c r="G93" t="s">
        <v>86</v>
      </c>
      <c r="H93" t="str">
        <f>VLOOKUP(Properties[[#This Row],[Landlord_ID]],Landlords[],2,FALSE)</f>
        <v>Landlord_19</v>
      </c>
      <c r="I93" t="str">
        <f>_xlfn.XLOOKUP(Properties[[#This Row],[Landlord_ID]],Landlords[Landlord_ID],Landlords[City])</f>
        <v>Chicago</v>
      </c>
    </row>
    <row r="94" spans="1:9" x14ac:dyDescent="0.3">
      <c r="A94" t="s">
        <v>180</v>
      </c>
      <c r="B94" t="s">
        <v>11</v>
      </c>
      <c r="C94" t="s">
        <v>22</v>
      </c>
      <c r="D94">
        <v>1713</v>
      </c>
      <c r="E94" t="s">
        <v>83</v>
      </c>
      <c r="F94">
        <v>5863</v>
      </c>
      <c r="G94" t="s">
        <v>84</v>
      </c>
      <c r="H94" t="str">
        <f>VLOOKUP(Properties[[#This Row],[Landlord_ID]],Landlords[],2,FALSE)</f>
        <v>Landlord_2</v>
      </c>
      <c r="I94" t="str">
        <f>_xlfn.XLOOKUP(Properties[[#This Row],[Landlord_ID]],Landlords[Landlord_ID],Landlords[City])</f>
        <v>New York</v>
      </c>
    </row>
    <row r="95" spans="1:9" x14ac:dyDescent="0.3">
      <c r="A95" t="s">
        <v>181</v>
      </c>
      <c r="B95" t="s">
        <v>34</v>
      </c>
      <c r="C95" t="s">
        <v>22</v>
      </c>
      <c r="D95">
        <v>1584</v>
      </c>
      <c r="E95" t="s">
        <v>83</v>
      </c>
      <c r="F95">
        <v>3189</v>
      </c>
      <c r="G95" t="s">
        <v>84</v>
      </c>
      <c r="H95" t="str">
        <f>VLOOKUP(Properties[[#This Row],[Landlord_ID]],Landlords[],2,FALSE)</f>
        <v>Landlord_10</v>
      </c>
      <c r="I95" t="str">
        <f>_xlfn.XLOOKUP(Properties[[#This Row],[Landlord_ID]],Landlords[Landlord_ID],Landlords[City])</f>
        <v>New York</v>
      </c>
    </row>
    <row r="96" spans="1:9" x14ac:dyDescent="0.3">
      <c r="A96" t="s">
        <v>182</v>
      </c>
      <c r="B96" t="s">
        <v>24</v>
      </c>
      <c r="C96" t="s">
        <v>22</v>
      </c>
      <c r="D96">
        <v>4756</v>
      </c>
      <c r="E96" t="s">
        <v>89</v>
      </c>
      <c r="F96">
        <v>4763</v>
      </c>
      <c r="G96" t="s">
        <v>84</v>
      </c>
      <c r="H96" t="str">
        <f>VLOOKUP(Properties[[#This Row],[Landlord_ID]],Landlords[],2,FALSE)</f>
        <v>Landlord_6</v>
      </c>
      <c r="I96" t="str">
        <f>_xlfn.XLOOKUP(Properties[[#This Row],[Landlord_ID]],Landlords[Landlord_ID],Landlords[City])</f>
        <v>Phoenix</v>
      </c>
    </row>
    <row r="97" spans="1:9" x14ac:dyDescent="0.3">
      <c r="A97" t="s">
        <v>183</v>
      </c>
      <c r="B97" t="s">
        <v>20</v>
      </c>
      <c r="C97" t="s">
        <v>22</v>
      </c>
      <c r="D97">
        <v>3611</v>
      </c>
      <c r="E97" t="s">
        <v>94</v>
      </c>
      <c r="F97">
        <v>6608</v>
      </c>
      <c r="G97" t="s">
        <v>84</v>
      </c>
      <c r="H97" t="str">
        <f>VLOOKUP(Properties[[#This Row],[Landlord_ID]],Landlords[],2,FALSE)</f>
        <v>Landlord_5</v>
      </c>
      <c r="I97" t="str">
        <f>_xlfn.XLOOKUP(Properties[[#This Row],[Landlord_ID]],Landlords[Landlord_ID],Landlords[City])</f>
        <v>Phoenix</v>
      </c>
    </row>
    <row r="98" spans="1:9" x14ac:dyDescent="0.3">
      <c r="A98" t="s">
        <v>184</v>
      </c>
      <c r="B98" t="s">
        <v>20</v>
      </c>
      <c r="C98" t="s">
        <v>22</v>
      </c>
      <c r="D98">
        <v>2865</v>
      </c>
      <c r="E98" t="s">
        <v>94</v>
      </c>
      <c r="F98">
        <v>4168</v>
      </c>
      <c r="G98" t="s">
        <v>86</v>
      </c>
      <c r="H98" t="str">
        <f>VLOOKUP(Properties[[#This Row],[Landlord_ID]],Landlords[],2,FALSE)</f>
        <v>Landlord_5</v>
      </c>
      <c r="I98" t="str">
        <f>_xlfn.XLOOKUP(Properties[[#This Row],[Landlord_ID]],Landlords[Landlord_ID],Landlords[City])</f>
        <v>Phoenix</v>
      </c>
    </row>
    <row r="99" spans="1:9" x14ac:dyDescent="0.3">
      <c r="A99" t="s">
        <v>185</v>
      </c>
      <c r="B99" t="s">
        <v>24</v>
      </c>
      <c r="C99" t="s">
        <v>22</v>
      </c>
      <c r="D99">
        <v>2570</v>
      </c>
      <c r="E99" t="s">
        <v>83</v>
      </c>
      <c r="F99">
        <v>7467</v>
      </c>
      <c r="G99" t="s">
        <v>84</v>
      </c>
      <c r="H99" t="str">
        <f>VLOOKUP(Properties[[#This Row],[Landlord_ID]],Landlords[],2,FALSE)</f>
        <v>Landlord_6</v>
      </c>
      <c r="I99" t="str">
        <f>_xlfn.XLOOKUP(Properties[[#This Row],[Landlord_ID]],Landlords[Landlord_ID],Landlords[City])</f>
        <v>Phoenix</v>
      </c>
    </row>
    <row r="100" spans="1:9" x14ac:dyDescent="0.3">
      <c r="A100" t="s">
        <v>186</v>
      </c>
      <c r="B100" t="s">
        <v>69</v>
      </c>
      <c r="C100" t="s">
        <v>22</v>
      </c>
      <c r="D100">
        <v>3125</v>
      </c>
      <c r="E100" t="s">
        <v>83</v>
      </c>
      <c r="F100">
        <v>3546</v>
      </c>
      <c r="G100" t="s">
        <v>84</v>
      </c>
      <c r="H100" t="str">
        <f>VLOOKUP(Properties[[#This Row],[Landlord_ID]],Landlords[],2,FALSE)</f>
        <v>Landlord_27</v>
      </c>
      <c r="I100" t="str">
        <f>_xlfn.XLOOKUP(Properties[[#This Row],[Landlord_ID]],Landlords[Landlord_ID],Landlords[City])</f>
        <v>Chicago</v>
      </c>
    </row>
    <row r="101" spans="1:9" x14ac:dyDescent="0.3">
      <c r="A101" t="s">
        <v>187</v>
      </c>
      <c r="B101" t="s">
        <v>67</v>
      </c>
      <c r="C101" t="s">
        <v>8</v>
      </c>
      <c r="D101">
        <v>3173</v>
      </c>
      <c r="E101" t="s">
        <v>89</v>
      </c>
      <c r="F101">
        <v>4773</v>
      </c>
      <c r="G101" t="s">
        <v>84</v>
      </c>
      <c r="H101" t="str">
        <f>VLOOKUP(Properties[[#This Row],[Landlord_ID]],Landlords[],2,FALSE)</f>
        <v>Landlord_26</v>
      </c>
      <c r="I101" t="str">
        <f>_xlfn.XLOOKUP(Properties[[#This Row],[Landlord_ID]],Landlords[Landlord_ID],Landlords[City])</f>
        <v>Houston</v>
      </c>
    </row>
  </sheetData>
  <conditionalFormatting sqref="F2:F101">
    <cfRule type="cellIs" dxfId="0" priority="1" operator="greaterThan">
      <formula>5000</formula>
    </cfRule>
  </conditionalFormatting>
  <dataValidations count="2">
    <dataValidation type="list" allowBlank="1" showInputMessage="1" showErrorMessage="1" sqref="C2:C5 C7:C101 C6" xr:uid="{661849DB-86A0-403E-AFCA-E01F54538E3F}">
      <formula1>PropertyTypeList</formula1>
    </dataValidation>
    <dataValidation type="list" allowBlank="1" showInputMessage="1" showErrorMessage="1" sqref="G2:G101" xr:uid="{E636852B-FEF8-49AF-9177-D88BDD6E72F6}">
      <formula1>PropertyStatusList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selection activeCell="I16" sqref="I16"/>
    </sheetView>
  </sheetViews>
  <sheetFormatPr defaultRowHeight="14.4" x14ac:dyDescent="0.3"/>
  <cols>
    <col min="1" max="1" width="10.44140625" customWidth="1"/>
    <col min="2" max="2" width="13.6640625" customWidth="1"/>
    <col min="3" max="3" width="12.77734375" customWidth="1"/>
    <col min="4" max="4" width="8.88671875" customWidth="1"/>
    <col min="5" max="5" width="19" customWidth="1"/>
  </cols>
  <sheetData>
    <row r="1" spans="1:5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</row>
    <row r="2" spans="1:5" x14ac:dyDescent="0.3">
      <c r="A2" t="s">
        <v>193</v>
      </c>
      <c r="B2" t="s">
        <v>194</v>
      </c>
      <c r="C2" t="s">
        <v>195</v>
      </c>
      <c r="D2">
        <v>4015</v>
      </c>
      <c r="E2" t="s">
        <v>92</v>
      </c>
    </row>
    <row r="3" spans="1:5" x14ac:dyDescent="0.3">
      <c r="A3" t="s">
        <v>196</v>
      </c>
      <c r="B3" t="s">
        <v>197</v>
      </c>
      <c r="C3" t="s">
        <v>195</v>
      </c>
      <c r="D3">
        <v>1223</v>
      </c>
      <c r="E3" t="s">
        <v>92</v>
      </c>
    </row>
    <row r="4" spans="1:5" x14ac:dyDescent="0.3">
      <c r="A4" t="s">
        <v>198</v>
      </c>
      <c r="B4" t="s">
        <v>199</v>
      </c>
      <c r="C4" t="s">
        <v>200</v>
      </c>
      <c r="D4">
        <v>3285</v>
      </c>
      <c r="E4" t="s">
        <v>83</v>
      </c>
    </row>
    <row r="5" spans="1:5" x14ac:dyDescent="0.3">
      <c r="A5" t="s">
        <v>201</v>
      </c>
      <c r="B5" t="s">
        <v>202</v>
      </c>
      <c r="C5" t="s">
        <v>195</v>
      </c>
      <c r="D5">
        <v>3970</v>
      </c>
      <c r="E5" t="s">
        <v>94</v>
      </c>
    </row>
    <row r="6" spans="1:5" x14ac:dyDescent="0.3">
      <c r="A6" t="s">
        <v>203</v>
      </c>
      <c r="B6" t="s">
        <v>204</v>
      </c>
      <c r="C6" t="s">
        <v>195</v>
      </c>
      <c r="D6">
        <v>8079</v>
      </c>
      <c r="E6" t="s">
        <v>94</v>
      </c>
    </row>
    <row r="7" spans="1:5" x14ac:dyDescent="0.3">
      <c r="A7" t="s">
        <v>205</v>
      </c>
      <c r="B7" t="s">
        <v>206</v>
      </c>
      <c r="C7" t="s">
        <v>195</v>
      </c>
      <c r="D7">
        <v>3654</v>
      </c>
      <c r="E7" t="s">
        <v>94</v>
      </c>
    </row>
    <row r="8" spans="1:5" x14ac:dyDescent="0.3">
      <c r="A8" t="s">
        <v>207</v>
      </c>
      <c r="B8" t="s">
        <v>208</v>
      </c>
      <c r="C8" t="s">
        <v>200</v>
      </c>
      <c r="D8">
        <v>6875</v>
      </c>
      <c r="E8" t="s">
        <v>94</v>
      </c>
    </row>
    <row r="9" spans="1:5" x14ac:dyDescent="0.3">
      <c r="A9" t="s">
        <v>209</v>
      </c>
      <c r="B9" t="s">
        <v>210</v>
      </c>
      <c r="C9" t="s">
        <v>200</v>
      </c>
      <c r="D9">
        <v>5766</v>
      </c>
      <c r="E9" t="s">
        <v>89</v>
      </c>
    </row>
    <row r="10" spans="1:5" x14ac:dyDescent="0.3">
      <c r="A10" t="s">
        <v>211</v>
      </c>
      <c r="B10" t="s">
        <v>212</v>
      </c>
      <c r="C10" t="s">
        <v>195</v>
      </c>
      <c r="D10">
        <v>6686</v>
      </c>
      <c r="E10" t="s">
        <v>89</v>
      </c>
    </row>
    <row r="11" spans="1:5" x14ac:dyDescent="0.3">
      <c r="A11" t="s">
        <v>213</v>
      </c>
      <c r="B11" t="s">
        <v>214</v>
      </c>
      <c r="C11" t="s">
        <v>200</v>
      </c>
      <c r="D11">
        <v>5307</v>
      </c>
      <c r="E11" t="s">
        <v>92</v>
      </c>
    </row>
    <row r="12" spans="1:5" x14ac:dyDescent="0.3">
      <c r="A12" t="s">
        <v>215</v>
      </c>
      <c r="B12" t="s">
        <v>216</v>
      </c>
      <c r="C12" t="s">
        <v>195</v>
      </c>
      <c r="D12">
        <v>3385</v>
      </c>
      <c r="E12" t="s">
        <v>92</v>
      </c>
    </row>
    <row r="13" spans="1:5" x14ac:dyDescent="0.3">
      <c r="A13" t="s">
        <v>217</v>
      </c>
      <c r="B13" t="s">
        <v>218</v>
      </c>
      <c r="C13" t="s">
        <v>200</v>
      </c>
      <c r="D13">
        <v>5492</v>
      </c>
      <c r="E13" t="s">
        <v>89</v>
      </c>
    </row>
    <row r="14" spans="1:5" x14ac:dyDescent="0.3">
      <c r="A14" t="s">
        <v>219</v>
      </c>
      <c r="B14" t="s">
        <v>220</v>
      </c>
      <c r="C14" t="s">
        <v>200</v>
      </c>
      <c r="D14">
        <v>7826</v>
      </c>
      <c r="E14" t="s">
        <v>83</v>
      </c>
    </row>
    <row r="15" spans="1:5" x14ac:dyDescent="0.3">
      <c r="A15" t="s">
        <v>221</v>
      </c>
      <c r="B15" t="s">
        <v>222</v>
      </c>
      <c r="C15" t="s">
        <v>200</v>
      </c>
      <c r="D15">
        <v>2329</v>
      </c>
      <c r="E15" t="s">
        <v>92</v>
      </c>
    </row>
    <row r="16" spans="1:5" x14ac:dyDescent="0.3">
      <c r="A16" t="s">
        <v>223</v>
      </c>
      <c r="B16" t="s">
        <v>224</v>
      </c>
      <c r="C16" t="s">
        <v>195</v>
      </c>
      <c r="D16">
        <v>3496</v>
      </c>
      <c r="E16" t="s">
        <v>92</v>
      </c>
    </row>
    <row r="17" spans="1:5" x14ac:dyDescent="0.3">
      <c r="A17" t="s">
        <v>225</v>
      </c>
      <c r="B17" t="s">
        <v>226</v>
      </c>
      <c r="C17" t="s">
        <v>200</v>
      </c>
      <c r="D17">
        <v>8784</v>
      </c>
      <c r="E17" t="s">
        <v>92</v>
      </c>
    </row>
    <row r="18" spans="1:5" x14ac:dyDescent="0.3">
      <c r="A18" t="s">
        <v>227</v>
      </c>
      <c r="B18" t="s">
        <v>228</v>
      </c>
      <c r="C18" t="s">
        <v>200</v>
      </c>
      <c r="D18">
        <v>4441</v>
      </c>
      <c r="E18" t="s">
        <v>92</v>
      </c>
    </row>
    <row r="19" spans="1:5" x14ac:dyDescent="0.3">
      <c r="A19" t="s">
        <v>229</v>
      </c>
      <c r="B19" t="s">
        <v>230</v>
      </c>
      <c r="C19" t="s">
        <v>195</v>
      </c>
      <c r="D19">
        <v>5041</v>
      </c>
      <c r="E19" t="s">
        <v>83</v>
      </c>
    </row>
    <row r="20" spans="1:5" x14ac:dyDescent="0.3">
      <c r="A20" t="s">
        <v>231</v>
      </c>
      <c r="B20" t="s">
        <v>232</v>
      </c>
      <c r="C20" t="s">
        <v>195</v>
      </c>
      <c r="D20">
        <v>2982</v>
      </c>
      <c r="E20" t="s">
        <v>83</v>
      </c>
    </row>
    <row r="21" spans="1:5" x14ac:dyDescent="0.3">
      <c r="A21" t="s">
        <v>233</v>
      </c>
      <c r="B21" t="s">
        <v>234</v>
      </c>
      <c r="C21" t="s">
        <v>200</v>
      </c>
      <c r="D21">
        <v>5680</v>
      </c>
      <c r="E21" t="s">
        <v>94</v>
      </c>
    </row>
    <row r="22" spans="1:5" x14ac:dyDescent="0.3">
      <c r="A22" t="s">
        <v>235</v>
      </c>
      <c r="B22" t="s">
        <v>236</v>
      </c>
      <c r="C22" t="s">
        <v>200</v>
      </c>
      <c r="D22">
        <v>6104</v>
      </c>
      <c r="E22" t="s">
        <v>83</v>
      </c>
    </row>
    <row r="23" spans="1:5" x14ac:dyDescent="0.3">
      <c r="A23" t="s">
        <v>237</v>
      </c>
      <c r="B23" t="s">
        <v>238</v>
      </c>
      <c r="C23" t="s">
        <v>200</v>
      </c>
      <c r="D23">
        <v>9832</v>
      </c>
      <c r="E23" t="s">
        <v>92</v>
      </c>
    </row>
    <row r="24" spans="1:5" x14ac:dyDescent="0.3">
      <c r="A24" t="s">
        <v>239</v>
      </c>
      <c r="B24" t="s">
        <v>240</v>
      </c>
      <c r="C24" t="s">
        <v>195</v>
      </c>
      <c r="D24">
        <v>8316</v>
      </c>
      <c r="E24" t="s">
        <v>92</v>
      </c>
    </row>
    <row r="25" spans="1:5" x14ac:dyDescent="0.3">
      <c r="A25" t="s">
        <v>241</v>
      </c>
      <c r="B25" t="s">
        <v>242</v>
      </c>
      <c r="C25" t="s">
        <v>195</v>
      </c>
      <c r="D25">
        <v>4062</v>
      </c>
      <c r="E25" t="s">
        <v>89</v>
      </c>
    </row>
    <row r="26" spans="1:5" x14ac:dyDescent="0.3">
      <c r="A26" t="s">
        <v>243</v>
      </c>
      <c r="B26" t="s">
        <v>244</v>
      </c>
      <c r="C26" t="s">
        <v>200</v>
      </c>
      <c r="D26">
        <v>1071</v>
      </c>
      <c r="E26" t="s">
        <v>94</v>
      </c>
    </row>
    <row r="27" spans="1:5" x14ac:dyDescent="0.3">
      <c r="A27" t="s">
        <v>245</v>
      </c>
      <c r="B27" t="s">
        <v>246</v>
      </c>
      <c r="C27" t="s">
        <v>195</v>
      </c>
      <c r="D27">
        <v>3300</v>
      </c>
      <c r="E27" t="s">
        <v>89</v>
      </c>
    </row>
    <row r="28" spans="1:5" x14ac:dyDescent="0.3">
      <c r="A28" t="s">
        <v>247</v>
      </c>
      <c r="B28" t="s">
        <v>248</v>
      </c>
      <c r="C28" t="s">
        <v>200</v>
      </c>
      <c r="D28">
        <v>5952</v>
      </c>
      <c r="E28" t="s">
        <v>94</v>
      </c>
    </row>
    <row r="29" spans="1:5" x14ac:dyDescent="0.3">
      <c r="A29" t="s">
        <v>249</v>
      </c>
      <c r="B29" t="s">
        <v>250</v>
      </c>
      <c r="C29" t="s">
        <v>195</v>
      </c>
      <c r="D29">
        <v>7007</v>
      </c>
      <c r="E29" t="s">
        <v>83</v>
      </c>
    </row>
    <row r="30" spans="1:5" x14ac:dyDescent="0.3">
      <c r="A30" t="s">
        <v>251</v>
      </c>
      <c r="B30" t="s">
        <v>252</v>
      </c>
      <c r="C30" t="s">
        <v>195</v>
      </c>
      <c r="D30">
        <v>5641</v>
      </c>
      <c r="E30" t="s">
        <v>92</v>
      </c>
    </row>
    <row r="31" spans="1:5" x14ac:dyDescent="0.3">
      <c r="A31" t="s">
        <v>253</v>
      </c>
      <c r="B31" t="s">
        <v>254</v>
      </c>
      <c r="C31" t="s">
        <v>195</v>
      </c>
      <c r="D31">
        <v>1285</v>
      </c>
      <c r="E31" t="s">
        <v>92</v>
      </c>
    </row>
    <row r="32" spans="1:5" x14ac:dyDescent="0.3">
      <c r="A32" t="s">
        <v>255</v>
      </c>
      <c r="B32" t="s">
        <v>256</v>
      </c>
      <c r="C32" t="s">
        <v>195</v>
      </c>
      <c r="D32">
        <v>5869</v>
      </c>
      <c r="E32" t="s">
        <v>92</v>
      </c>
    </row>
    <row r="33" spans="1:5" x14ac:dyDescent="0.3">
      <c r="A33" t="s">
        <v>257</v>
      </c>
      <c r="B33" t="s">
        <v>258</v>
      </c>
      <c r="C33" t="s">
        <v>195</v>
      </c>
      <c r="D33">
        <v>7694</v>
      </c>
      <c r="E33" t="s">
        <v>92</v>
      </c>
    </row>
    <row r="34" spans="1:5" x14ac:dyDescent="0.3">
      <c r="A34" t="s">
        <v>259</v>
      </c>
      <c r="B34" t="s">
        <v>260</v>
      </c>
      <c r="C34" t="s">
        <v>195</v>
      </c>
      <c r="D34">
        <v>2036</v>
      </c>
      <c r="E34" t="s">
        <v>94</v>
      </c>
    </row>
    <row r="35" spans="1:5" x14ac:dyDescent="0.3">
      <c r="A35" t="s">
        <v>261</v>
      </c>
      <c r="B35" t="s">
        <v>262</v>
      </c>
      <c r="C35" t="s">
        <v>200</v>
      </c>
      <c r="D35">
        <v>4351</v>
      </c>
      <c r="E35" t="s">
        <v>83</v>
      </c>
    </row>
    <row r="36" spans="1:5" x14ac:dyDescent="0.3">
      <c r="A36" t="s">
        <v>263</v>
      </c>
      <c r="B36" t="s">
        <v>264</v>
      </c>
      <c r="C36" t="s">
        <v>195</v>
      </c>
      <c r="D36">
        <v>5656</v>
      </c>
      <c r="E36" t="s">
        <v>94</v>
      </c>
    </row>
    <row r="37" spans="1:5" x14ac:dyDescent="0.3">
      <c r="A37" t="s">
        <v>265</v>
      </c>
      <c r="B37" t="s">
        <v>266</v>
      </c>
      <c r="C37" t="s">
        <v>195</v>
      </c>
      <c r="D37">
        <v>3096</v>
      </c>
      <c r="E37" t="s">
        <v>89</v>
      </c>
    </row>
    <row r="38" spans="1:5" x14ac:dyDescent="0.3">
      <c r="A38" t="s">
        <v>267</v>
      </c>
      <c r="B38" t="s">
        <v>268</v>
      </c>
      <c r="C38" t="s">
        <v>200</v>
      </c>
      <c r="D38">
        <v>3037</v>
      </c>
      <c r="E38" t="s">
        <v>83</v>
      </c>
    </row>
    <row r="39" spans="1:5" x14ac:dyDescent="0.3">
      <c r="A39" t="s">
        <v>269</v>
      </c>
      <c r="B39" t="s">
        <v>270</v>
      </c>
      <c r="C39" t="s">
        <v>195</v>
      </c>
      <c r="D39">
        <v>9797</v>
      </c>
      <c r="E39" t="s">
        <v>92</v>
      </c>
    </row>
    <row r="40" spans="1:5" x14ac:dyDescent="0.3">
      <c r="A40" t="s">
        <v>271</v>
      </c>
      <c r="B40" t="s">
        <v>272</v>
      </c>
      <c r="C40" t="s">
        <v>195</v>
      </c>
      <c r="D40">
        <v>2085</v>
      </c>
      <c r="E40" t="s">
        <v>83</v>
      </c>
    </row>
    <row r="41" spans="1:5" x14ac:dyDescent="0.3">
      <c r="A41" t="s">
        <v>273</v>
      </c>
      <c r="B41" t="s">
        <v>274</v>
      </c>
      <c r="C41" t="s">
        <v>195</v>
      </c>
      <c r="D41">
        <v>6071</v>
      </c>
      <c r="E41" t="s">
        <v>83</v>
      </c>
    </row>
    <row r="42" spans="1:5" x14ac:dyDescent="0.3">
      <c r="A42" t="s">
        <v>275</v>
      </c>
      <c r="B42" t="s">
        <v>276</v>
      </c>
      <c r="C42" t="s">
        <v>195</v>
      </c>
      <c r="D42">
        <v>10000</v>
      </c>
      <c r="E42" t="s">
        <v>89</v>
      </c>
    </row>
    <row r="43" spans="1:5" x14ac:dyDescent="0.3">
      <c r="A43" t="s">
        <v>277</v>
      </c>
      <c r="B43" t="s">
        <v>278</v>
      </c>
      <c r="C43" t="s">
        <v>200</v>
      </c>
      <c r="D43">
        <v>1254</v>
      </c>
      <c r="E43" t="s">
        <v>94</v>
      </c>
    </row>
    <row r="44" spans="1:5" x14ac:dyDescent="0.3">
      <c r="A44" t="s">
        <v>279</v>
      </c>
      <c r="B44" t="s">
        <v>280</v>
      </c>
      <c r="C44" t="s">
        <v>195</v>
      </c>
      <c r="D44">
        <v>4172</v>
      </c>
      <c r="E44" t="s">
        <v>89</v>
      </c>
    </row>
    <row r="45" spans="1:5" x14ac:dyDescent="0.3">
      <c r="A45" t="s">
        <v>281</v>
      </c>
      <c r="B45" t="s">
        <v>282</v>
      </c>
      <c r="C45" t="s">
        <v>200</v>
      </c>
      <c r="D45">
        <v>6791</v>
      </c>
      <c r="E45" t="s">
        <v>89</v>
      </c>
    </row>
    <row r="46" spans="1:5" x14ac:dyDescent="0.3">
      <c r="A46" t="s">
        <v>283</v>
      </c>
      <c r="B46" t="s">
        <v>284</v>
      </c>
      <c r="C46" t="s">
        <v>195</v>
      </c>
      <c r="D46">
        <v>2080</v>
      </c>
      <c r="E46" t="s">
        <v>94</v>
      </c>
    </row>
    <row r="47" spans="1:5" x14ac:dyDescent="0.3">
      <c r="A47" t="s">
        <v>285</v>
      </c>
      <c r="B47" t="s">
        <v>286</v>
      </c>
      <c r="C47" t="s">
        <v>195</v>
      </c>
      <c r="D47">
        <v>1992</v>
      </c>
      <c r="E47" t="s">
        <v>89</v>
      </c>
    </row>
    <row r="48" spans="1:5" x14ac:dyDescent="0.3">
      <c r="A48" t="s">
        <v>287</v>
      </c>
      <c r="B48" t="s">
        <v>288</v>
      </c>
      <c r="C48" t="s">
        <v>195</v>
      </c>
      <c r="D48">
        <v>8972</v>
      </c>
      <c r="E48" t="s">
        <v>92</v>
      </c>
    </row>
    <row r="49" spans="1:5" x14ac:dyDescent="0.3">
      <c r="A49" t="s">
        <v>289</v>
      </c>
      <c r="B49" t="s">
        <v>290</v>
      </c>
      <c r="C49" t="s">
        <v>195</v>
      </c>
      <c r="D49">
        <v>2304</v>
      </c>
      <c r="E49" t="s">
        <v>92</v>
      </c>
    </row>
    <row r="50" spans="1:5" x14ac:dyDescent="0.3">
      <c r="A50" t="s">
        <v>291</v>
      </c>
      <c r="B50" t="s">
        <v>292</v>
      </c>
      <c r="C50" t="s">
        <v>195</v>
      </c>
      <c r="D50">
        <v>3097</v>
      </c>
      <c r="E50" t="s">
        <v>94</v>
      </c>
    </row>
    <row r="51" spans="1:5" x14ac:dyDescent="0.3">
      <c r="A51" t="s">
        <v>293</v>
      </c>
      <c r="B51" t="s">
        <v>294</v>
      </c>
      <c r="C51" t="s">
        <v>200</v>
      </c>
      <c r="D51">
        <v>4577</v>
      </c>
      <c r="E51" t="s">
        <v>83</v>
      </c>
    </row>
    <row r="52" spans="1:5" x14ac:dyDescent="0.3">
      <c r="A52" t="s">
        <v>295</v>
      </c>
      <c r="B52" t="s">
        <v>296</v>
      </c>
      <c r="C52" t="s">
        <v>200</v>
      </c>
      <c r="D52">
        <v>4515</v>
      </c>
      <c r="E52" t="s">
        <v>92</v>
      </c>
    </row>
    <row r="53" spans="1:5" x14ac:dyDescent="0.3">
      <c r="A53" t="s">
        <v>297</v>
      </c>
      <c r="B53" t="s">
        <v>298</v>
      </c>
      <c r="C53" t="s">
        <v>200</v>
      </c>
      <c r="D53">
        <v>4995</v>
      </c>
      <c r="E53" t="s">
        <v>94</v>
      </c>
    </row>
    <row r="54" spans="1:5" x14ac:dyDescent="0.3">
      <c r="A54" t="s">
        <v>299</v>
      </c>
      <c r="B54" t="s">
        <v>300</v>
      </c>
      <c r="C54" t="s">
        <v>195</v>
      </c>
      <c r="D54">
        <v>5722</v>
      </c>
      <c r="E54" t="s">
        <v>94</v>
      </c>
    </row>
    <row r="55" spans="1:5" x14ac:dyDescent="0.3">
      <c r="A55" t="s">
        <v>301</v>
      </c>
      <c r="B55" t="s">
        <v>302</v>
      </c>
      <c r="C55" t="s">
        <v>195</v>
      </c>
      <c r="D55">
        <v>6752</v>
      </c>
      <c r="E55" t="s">
        <v>92</v>
      </c>
    </row>
    <row r="56" spans="1:5" x14ac:dyDescent="0.3">
      <c r="A56" t="s">
        <v>303</v>
      </c>
      <c r="B56" t="s">
        <v>304</v>
      </c>
      <c r="C56" t="s">
        <v>195</v>
      </c>
      <c r="D56">
        <v>2296</v>
      </c>
      <c r="E56" t="s">
        <v>83</v>
      </c>
    </row>
    <row r="57" spans="1:5" x14ac:dyDescent="0.3">
      <c r="A57" t="s">
        <v>305</v>
      </c>
      <c r="B57" t="s">
        <v>306</v>
      </c>
      <c r="C57" t="s">
        <v>200</v>
      </c>
      <c r="D57">
        <v>3504</v>
      </c>
      <c r="E57" t="s">
        <v>94</v>
      </c>
    </row>
    <row r="58" spans="1:5" x14ac:dyDescent="0.3">
      <c r="A58" t="s">
        <v>307</v>
      </c>
      <c r="B58" t="s">
        <v>308</v>
      </c>
      <c r="C58" t="s">
        <v>195</v>
      </c>
      <c r="D58">
        <v>8405</v>
      </c>
      <c r="E58" t="s">
        <v>94</v>
      </c>
    </row>
    <row r="59" spans="1:5" x14ac:dyDescent="0.3">
      <c r="A59" t="s">
        <v>309</v>
      </c>
      <c r="B59" t="s">
        <v>310</v>
      </c>
      <c r="C59" t="s">
        <v>195</v>
      </c>
      <c r="D59">
        <v>8614</v>
      </c>
      <c r="E59" t="s">
        <v>83</v>
      </c>
    </row>
    <row r="60" spans="1:5" x14ac:dyDescent="0.3">
      <c r="A60" t="s">
        <v>311</v>
      </c>
      <c r="B60" t="s">
        <v>312</v>
      </c>
      <c r="C60" t="s">
        <v>195</v>
      </c>
      <c r="D60">
        <v>7795</v>
      </c>
      <c r="E60" t="s">
        <v>92</v>
      </c>
    </row>
    <row r="61" spans="1:5" x14ac:dyDescent="0.3">
      <c r="A61" t="s">
        <v>313</v>
      </c>
      <c r="B61" t="s">
        <v>314</v>
      </c>
      <c r="C61" t="s">
        <v>195</v>
      </c>
      <c r="D61">
        <v>3305</v>
      </c>
      <c r="E61" t="s">
        <v>89</v>
      </c>
    </row>
    <row r="62" spans="1:5" x14ac:dyDescent="0.3">
      <c r="A62" t="s">
        <v>315</v>
      </c>
      <c r="B62" t="s">
        <v>316</v>
      </c>
      <c r="C62" t="s">
        <v>200</v>
      </c>
      <c r="D62">
        <v>7431</v>
      </c>
      <c r="E62" t="s">
        <v>92</v>
      </c>
    </row>
    <row r="63" spans="1:5" x14ac:dyDescent="0.3">
      <c r="A63" t="s">
        <v>317</v>
      </c>
      <c r="B63" t="s">
        <v>318</v>
      </c>
      <c r="C63" t="s">
        <v>195</v>
      </c>
      <c r="D63">
        <v>9873</v>
      </c>
      <c r="E63" t="s">
        <v>92</v>
      </c>
    </row>
    <row r="64" spans="1:5" x14ac:dyDescent="0.3">
      <c r="A64" t="s">
        <v>319</v>
      </c>
      <c r="B64" t="s">
        <v>320</v>
      </c>
      <c r="C64" t="s">
        <v>195</v>
      </c>
      <c r="D64">
        <v>7130</v>
      </c>
      <c r="E64" t="s">
        <v>89</v>
      </c>
    </row>
    <row r="65" spans="1:5" x14ac:dyDescent="0.3">
      <c r="A65" t="s">
        <v>321</v>
      </c>
      <c r="B65" t="s">
        <v>322</v>
      </c>
      <c r="C65" t="s">
        <v>200</v>
      </c>
      <c r="D65">
        <v>4257</v>
      </c>
      <c r="E65" t="s">
        <v>89</v>
      </c>
    </row>
    <row r="66" spans="1:5" x14ac:dyDescent="0.3">
      <c r="A66" t="s">
        <v>323</v>
      </c>
      <c r="B66" t="s">
        <v>324</v>
      </c>
      <c r="C66" t="s">
        <v>200</v>
      </c>
      <c r="D66">
        <v>9421</v>
      </c>
      <c r="E66" t="s">
        <v>83</v>
      </c>
    </row>
    <row r="67" spans="1:5" x14ac:dyDescent="0.3">
      <c r="A67" t="s">
        <v>325</v>
      </c>
      <c r="B67" t="s">
        <v>326</v>
      </c>
      <c r="C67" t="s">
        <v>195</v>
      </c>
      <c r="D67">
        <v>5511</v>
      </c>
      <c r="E67" t="s">
        <v>92</v>
      </c>
    </row>
    <row r="68" spans="1:5" x14ac:dyDescent="0.3">
      <c r="A68" t="s">
        <v>327</v>
      </c>
      <c r="B68" t="s">
        <v>328</v>
      </c>
      <c r="C68" t="s">
        <v>195</v>
      </c>
      <c r="D68">
        <v>3422</v>
      </c>
      <c r="E68" t="s">
        <v>94</v>
      </c>
    </row>
    <row r="69" spans="1:5" x14ac:dyDescent="0.3">
      <c r="A69" t="s">
        <v>329</v>
      </c>
      <c r="B69" t="s">
        <v>330</v>
      </c>
      <c r="C69" t="s">
        <v>200</v>
      </c>
      <c r="D69">
        <v>1802</v>
      </c>
      <c r="E69" t="s">
        <v>94</v>
      </c>
    </row>
    <row r="70" spans="1:5" x14ac:dyDescent="0.3">
      <c r="A70" t="s">
        <v>331</v>
      </c>
      <c r="B70" t="s">
        <v>332</v>
      </c>
      <c r="C70" t="s">
        <v>200</v>
      </c>
      <c r="D70">
        <v>7503</v>
      </c>
      <c r="E70" t="s">
        <v>94</v>
      </c>
    </row>
    <row r="71" spans="1:5" x14ac:dyDescent="0.3">
      <c r="A71" t="s">
        <v>333</v>
      </c>
      <c r="B71" t="s">
        <v>334</v>
      </c>
      <c r="C71" t="s">
        <v>200</v>
      </c>
      <c r="D71">
        <v>6657</v>
      </c>
      <c r="E71" t="s">
        <v>92</v>
      </c>
    </row>
    <row r="72" spans="1:5" x14ac:dyDescent="0.3">
      <c r="A72" t="s">
        <v>335</v>
      </c>
      <c r="B72" t="s">
        <v>336</v>
      </c>
      <c r="C72" t="s">
        <v>200</v>
      </c>
      <c r="D72">
        <v>4819</v>
      </c>
      <c r="E72" t="s">
        <v>94</v>
      </c>
    </row>
    <row r="73" spans="1:5" x14ac:dyDescent="0.3">
      <c r="A73" t="s">
        <v>337</v>
      </c>
      <c r="B73" t="s">
        <v>338</v>
      </c>
      <c r="C73" t="s">
        <v>200</v>
      </c>
      <c r="D73">
        <v>5526</v>
      </c>
      <c r="E73" t="s">
        <v>83</v>
      </c>
    </row>
    <row r="74" spans="1:5" x14ac:dyDescent="0.3">
      <c r="A74" t="s">
        <v>339</v>
      </c>
      <c r="B74" t="s">
        <v>340</v>
      </c>
      <c r="C74" t="s">
        <v>200</v>
      </c>
      <c r="D74">
        <v>7487</v>
      </c>
      <c r="E74" t="s">
        <v>89</v>
      </c>
    </row>
    <row r="75" spans="1:5" x14ac:dyDescent="0.3">
      <c r="A75" t="s">
        <v>341</v>
      </c>
      <c r="B75" t="s">
        <v>342</v>
      </c>
      <c r="C75" t="s">
        <v>195</v>
      </c>
      <c r="D75">
        <v>4368</v>
      </c>
      <c r="E75" t="s">
        <v>89</v>
      </c>
    </row>
    <row r="76" spans="1:5" x14ac:dyDescent="0.3">
      <c r="A76" t="s">
        <v>343</v>
      </c>
      <c r="B76" t="s">
        <v>344</v>
      </c>
      <c r="C76" t="s">
        <v>195</v>
      </c>
      <c r="D76">
        <v>3208</v>
      </c>
      <c r="E76" t="s">
        <v>94</v>
      </c>
    </row>
    <row r="77" spans="1:5" x14ac:dyDescent="0.3">
      <c r="A77" t="s">
        <v>345</v>
      </c>
      <c r="B77" t="s">
        <v>346</v>
      </c>
      <c r="C77" t="s">
        <v>200</v>
      </c>
      <c r="D77">
        <v>7036</v>
      </c>
      <c r="E77" t="s">
        <v>89</v>
      </c>
    </row>
    <row r="78" spans="1:5" x14ac:dyDescent="0.3">
      <c r="A78" t="s">
        <v>347</v>
      </c>
      <c r="B78" t="s">
        <v>348</v>
      </c>
      <c r="C78" t="s">
        <v>200</v>
      </c>
      <c r="D78">
        <v>6811</v>
      </c>
      <c r="E78" t="s">
        <v>89</v>
      </c>
    </row>
    <row r="79" spans="1:5" x14ac:dyDescent="0.3">
      <c r="A79" t="s">
        <v>349</v>
      </c>
      <c r="B79" t="s">
        <v>350</v>
      </c>
      <c r="C79" t="s">
        <v>200</v>
      </c>
      <c r="D79">
        <v>1370</v>
      </c>
      <c r="E79" t="s">
        <v>83</v>
      </c>
    </row>
    <row r="80" spans="1:5" x14ac:dyDescent="0.3">
      <c r="A80" t="s">
        <v>351</v>
      </c>
      <c r="B80" t="s">
        <v>352</v>
      </c>
      <c r="C80" t="s">
        <v>200</v>
      </c>
      <c r="D80">
        <v>4763</v>
      </c>
      <c r="E80" t="s">
        <v>89</v>
      </c>
    </row>
    <row r="81" spans="1:5" x14ac:dyDescent="0.3">
      <c r="A81" t="s">
        <v>353</v>
      </c>
      <c r="B81" t="s">
        <v>354</v>
      </c>
      <c r="C81" t="s">
        <v>195</v>
      </c>
      <c r="D81">
        <v>7260</v>
      </c>
      <c r="E81" t="s">
        <v>94</v>
      </c>
    </row>
    <row r="82" spans="1:5" x14ac:dyDescent="0.3">
      <c r="A82" t="s">
        <v>355</v>
      </c>
      <c r="B82" t="s">
        <v>356</v>
      </c>
      <c r="C82" t="s">
        <v>200</v>
      </c>
      <c r="D82">
        <v>5309</v>
      </c>
      <c r="E82" t="s">
        <v>94</v>
      </c>
    </row>
    <row r="83" spans="1:5" x14ac:dyDescent="0.3">
      <c r="A83" t="s">
        <v>357</v>
      </c>
      <c r="B83" t="s">
        <v>358</v>
      </c>
      <c r="C83" t="s">
        <v>195</v>
      </c>
      <c r="D83">
        <v>7848</v>
      </c>
      <c r="E83" t="s">
        <v>89</v>
      </c>
    </row>
    <row r="84" spans="1:5" x14ac:dyDescent="0.3">
      <c r="A84" t="s">
        <v>359</v>
      </c>
      <c r="B84" t="s">
        <v>360</v>
      </c>
      <c r="C84" t="s">
        <v>195</v>
      </c>
      <c r="D84">
        <v>1840</v>
      </c>
      <c r="E84" t="s">
        <v>89</v>
      </c>
    </row>
    <row r="85" spans="1:5" x14ac:dyDescent="0.3">
      <c r="A85" t="s">
        <v>361</v>
      </c>
      <c r="B85" t="s">
        <v>362</v>
      </c>
      <c r="C85" t="s">
        <v>200</v>
      </c>
      <c r="D85">
        <v>8366</v>
      </c>
      <c r="E85" t="s">
        <v>83</v>
      </c>
    </row>
    <row r="86" spans="1:5" x14ac:dyDescent="0.3">
      <c r="A86" t="s">
        <v>363</v>
      </c>
      <c r="B86" t="s">
        <v>364</v>
      </c>
      <c r="C86" t="s">
        <v>195</v>
      </c>
      <c r="D86">
        <v>6741</v>
      </c>
      <c r="E86" t="s">
        <v>92</v>
      </c>
    </row>
    <row r="87" spans="1:5" x14ac:dyDescent="0.3">
      <c r="A87" t="s">
        <v>365</v>
      </c>
      <c r="B87" t="s">
        <v>366</v>
      </c>
      <c r="C87" t="s">
        <v>195</v>
      </c>
      <c r="D87">
        <v>2501</v>
      </c>
      <c r="E87" t="s">
        <v>83</v>
      </c>
    </row>
    <row r="88" spans="1:5" x14ac:dyDescent="0.3">
      <c r="A88" t="s">
        <v>367</v>
      </c>
      <c r="B88" t="s">
        <v>368</v>
      </c>
      <c r="C88" t="s">
        <v>195</v>
      </c>
      <c r="D88">
        <v>2919</v>
      </c>
      <c r="E88" t="s">
        <v>89</v>
      </c>
    </row>
    <row r="89" spans="1:5" x14ac:dyDescent="0.3">
      <c r="A89" t="s">
        <v>369</v>
      </c>
      <c r="B89" t="s">
        <v>370</v>
      </c>
      <c r="C89" t="s">
        <v>195</v>
      </c>
      <c r="D89">
        <v>6969</v>
      </c>
      <c r="E89" t="s">
        <v>94</v>
      </c>
    </row>
    <row r="90" spans="1:5" x14ac:dyDescent="0.3">
      <c r="A90" t="s">
        <v>371</v>
      </c>
      <c r="B90" t="s">
        <v>372</v>
      </c>
      <c r="C90" t="s">
        <v>195</v>
      </c>
      <c r="D90">
        <v>5105</v>
      </c>
      <c r="E90" t="s">
        <v>92</v>
      </c>
    </row>
    <row r="91" spans="1:5" x14ac:dyDescent="0.3">
      <c r="A91" t="s">
        <v>373</v>
      </c>
      <c r="B91" t="s">
        <v>374</v>
      </c>
      <c r="C91" t="s">
        <v>195</v>
      </c>
      <c r="D91">
        <v>1378</v>
      </c>
      <c r="E91" t="s">
        <v>83</v>
      </c>
    </row>
    <row r="92" spans="1:5" x14ac:dyDescent="0.3">
      <c r="A92" t="s">
        <v>375</v>
      </c>
      <c r="B92" t="s">
        <v>376</v>
      </c>
      <c r="C92" t="s">
        <v>195</v>
      </c>
      <c r="D92">
        <v>2619</v>
      </c>
      <c r="E92" t="s">
        <v>83</v>
      </c>
    </row>
    <row r="93" spans="1:5" x14ac:dyDescent="0.3">
      <c r="A93" t="s">
        <v>377</v>
      </c>
      <c r="B93" t="s">
        <v>378</v>
      </c>
      <c r="C93" t="s">
        <v>195</v>
      </c>
      <c r="D93">
        <v>1878</v>
      </c>
      <c r="E93" t="s">
        <v>92</v>
      </c>
    </row>
    <row r="94" spans="1:5" x14ac:dyDescent="0.3">
      <c r="A94" t="s">
        <v>379</v>
      </c>
      <c r="B94" t="s">
        <v>380</v>
      </c>
      <c r="C94" t="s">
        <v>195</v>
      </c>
      <c r="D94">
        <v>2144</v>
      </c>
      <c r="E94" t="s">
        <v>89</v>
      </c>
    </row>
    <row r="95" spans="1:5" x14ac:dyDescent="0.3">
      <c r="A95" t="s">
        <v>381</v>
      </c>
      <c r="B95" t="s">
        <v>382</v>
      </c>
      <c r="C95" t="s">
        <v>195</v>
      </c>
      <c r="D95">
        <v>7238</v>
      </c>
      <c r="E95" t="s">
        <v>89</v>
      </c>
    </row>
    <row r="96" spans="1:5" x14ac:dyDescent="0.3">
      <c r="A96" t="s">
        <v>383</v>
      </c>
      <c r="B96" t="s">
        <v>384</v>
      </c>
      <c r="C96" t="s">
        <v>195</v>
      </c>
      <c r="D96">
        <v>8338</v>
      </c>
      <c r="E96" t="s">
        <v>94</v>
      </c>
    </row>
    <row r="97" spans="1:5" x14ac:dyDescent="0.3">
      <c r="A97" t="s">
        <v>385</v>
      </c>
      <c r="B97" t="s">
        <v>386</v>
      </c>
      <c r="C97" t="s">
        <v>200</v>
      </c>
      <c r="D97">
        <v>3683</v>
      </c>
      <c r="E97" t="s">
        <v>94</v>
      </c>
    </row>
    <row r="98" spans="1:5" x14ac:dyDescent="0.3">
      <c r="A98" t="s">
        <v>387</v>
      </c>
      <c r="B98" t="s">
        <v>388</v>
      </c>
      <c r="C98" t="s">
        <v>195</v>
      </c>
      <c r="D98">
        <v>1677</v>
      </c>
      <c r="E98" t="s">
        <v>89</v>
      </c>
    </row>
    <row r="99" spans="1:5" x14ac:dyDescent="0.3">
      <c r="A99" t="s">
        <v>389</v>
      </c>
      <c r="B99" t="s">
        <v>390</v>
      </c>
      <c r="C99" t="s">
        <v>200</v>
      </c>
      <c r="D99">
        <v>8626</v>
      </c>
      <c r="E99" t="s">
        <v>89</v>
      </c>
    </row>
    <row r="100" spans="1:5" x14ac:dyDescent="0.3">
      <c r="A100" t="s">
        <v>391</v>
      </c>
      <c r="B100" t="s">
        <v>392</v>
      </c>
      <c r="C100" t="s">
        <v>195</v>
      </c>
      <c r="D100">
        <v>8278</v>
      </c>
      <c r="E100" t="s">
        <v>92</v>
      </c>
    </row>
    <row r="101" spans="1:5" x14ac:dyDescent="0.3">
      <c r="A101" t="s">
        <v>393</v>
      </c>
      <c r="B101" t="s">
        <v>394</v>
      </c>
      <c r="C101" t="s">
        <v>200</v>
      </c>
      <c r="D101">
        <v>8877</v>
      </c>
      <c r="E101" t="s">
        <v>89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"/>
  <sheetViews>
    <sheetView workbookViewId="0">
      <selection activeCell="G2" sqref="G2"/>
    </sheetView>
  </sheetViews>
  <sheetFormatPr defaultRowHeight="14.4" x14ac:dyDescent="0.3"/>
  <cols>
    <col min="1" max="1" width="15.44140625" customWidth="1"/>
    <col min="2" max="2" width="13" customWidth="1"/>
    <col min="3" max="3" width="10.44140625" customWidth="1"/>
    <col min="4" max="4" width="17.5546875" customWidth="1"/>
    <col min="5" max="5" width="12.5546875" customWidth="1"/>
    <col min="6" max="6" width="26" customWidth="1"/>
    <col min="7" max="7" width="13.6640625" customWidth="1"/>
    <col min="8" max="8" width="20.44140625" customWidth="1"/>
    <col min="9" max="9" width="15.33203125" customWidth="1"/>
    <col min="10" max="10" width="17.88671875" customWidth="1"/>
  </cols>
  <sheetData>
    <row r="1" spans="1:10" ht="15" thickBot="1" x14ac:dyDescent="0.35">
      <c r="A1" s="7" t="s">
        <v>395</v>
      </c>
      <c r="B1" s="8" t="s">
        <v>77</v>
      </c>
      <c r="C1" s="8" t="s">
        <v>188</v>
      </c>
      <c r="D1" s="8" t="s">
        <v>396</v>
      </c>
      <c r="E1" s="8" t="s">
        <v>397</v>
      </c>
      <c r="F1" s="8" t="s">
        <v>398</v>
      </c>
      <c r="G1" s="8" t="s">
        <v>189</v>
      </c>
      <c r="H1" s="8" t="s">
        <v>4</v>
      </c>
      <c r="I1" s="8" t="s">
        <v>3</v>
      </c>
      <c r="J1" s="16" t="s">
        <v>1</v>
      </c>
    </row>
    <row r="2" spans="1:10" ht="15" thickTop="1" x14ac:dyDescent="0.3">
      <c r="A2" s="9" t="s">
        <v>399</v>
      </c>
      <c r="B2" s="10" t="s">
        <v>176</v>
      </c>
      <c r="C2" s="10" t="s">
        <v>235</v>
      </c>
      <c r="D2" s="11">
        <v>44789</v>
      </c>
      <c r="E2" s="10">
        <v>3640</v>
      </c>
      <c r="F2" s="10">
        <v>6</v>
      </c>
      <c r="G2" s="10" t="str">
        <f>_xlfn.XLOOKUP(Transactions!$C2,Clients[Client_ID],Clients[Client_Name])</f>
        <v>Client_21</v>
      </c>
      <c r="H2" s="10" t="str">
        <f>_xlfn.XLOOKUP(Transactions!$B2,Properties[Property_ID],Properties[City])</f>
        <v>San Francisco</v>
      </c>
      <c r="I2" s="10" t="str">
        <f>_xlfn.XLOOKUP(Transactions!$B2,Properties[Property_ID],Properties[Property_Type])</f>
        <v>Residential</v>
      </c>
      <c r="J2" s="17" t="str">
        <f>_xlfn.XLOOKUP(Transactions!$B2,Properties[Property_ID],Properties[Landlord_Name])</f>
        <v>Landlord_1</v>
      </c>
    </row>
    <row r="3" spans="1:10" x14ac:dyDescent="0.3">
      <c r="A3" s="12" t="s">
        <v>400</v>
      </c>
      <c r="B3" s="1" t="s">
        <v>100</v>
      </c>
      <c r="C3" s="1" t="s">
        <v>225</v>
      </c>
      <c r="D3" s="13">
        <v>45402</v>
      </c>
      <c r="E3" s="1">
        <v>6163</v>
      </c>
      <c r="F3" s="1">
        <v>6</v>
      </c>
      <c r="G3" s="1" t="str">
        <f>_xlfn.XLOOKUP(Transactions!$C3,Clients[Client_ID],Clients[Client_Name])</f>
        <v>Client_16</v>
      </c>
      <c r="H3" s="1" t="str">
        <f>_xlfn.XLOOKUP(Transactions!$B3,Properties[Property_ID],Properties[City])</f>
        <v>Chicago</v>
      </c>
      <c r="I3" s="1" t="str">
        <f>_xlfn.XLOOKUP(Transactions!$B3,Properties[Property_ID],Properties[Property_Type])</f>
        <v>Commercial</v>
      </c>
      <c r="J3" s="1" t="str">
        <f>_xlfn.XLOOKUP(Transactions!$B3,Properties[Property_ID],Properties[Landlord_Name])</f>
        <v>Landlord_19</v>
      </c>
    </row>
    <row r="4" spans="1:10" x14ac:dyDescent="0.3">
      <c r="A4" s="14" t="s">
        <v>401</v>
      </c>
      <c r="B4" s="2" t="s">
        <v>119</v>
      </c>
      <c r="C4" s="2" t="s">
        <v>307</v>
      </c>
      <c r="D4" s="15">
        <v>44586</v>
      </c>
      <c r="E4" s="2">
        <v>2443</v>
      </c>
      <c r="F4" s="2">
        <v>6</v>
      </c>
      <c r="G4" s="2" t="str">
        <f>_xlfn.XLOOKUP(Transactions!$C4,Clients[Client_ID],Clients[Client_Name])</f>
        <v>Client_57</v>
      </c>
      <c r="H4" s="2" t="str">
        <f>_xlfn.XLOOKUP(Transactions!$B4,Properties[Property_ID],Properties[City])</f>
        <v>Chicago</v>
      </c>
      <c r="I4" s="2" t="str">
        <f>_xlfn.XLOOKUP(Transactions!$B4,Properties[Property_ID],Properties[Property_Type])</f>
        <v>Commercial</v>
      </c>
      <c r="J4" s="1" t="str">
        <f>_xlfn.XLOOKUP(Transactions!$B4,Properties[Property_ID],Properties[Landlord_Name])</f>
        <v>Landlord_18</v>
      </c>
    </row>
    <row r="5" spans="1:10" x14ac:dyDescent="0.3">
      <c r="A5" s="12" t="s">
        <v>402</v>
      </c>
      <c r="B5" s="1" t="s">
        <v>169</v>
      </c>
      <c r="C5" s="1" t="s">
        <v>275</v>
      </c>
      <c r="D5" s="13">
        <v>44737</v>
      </c>
      <c r="E5" s="1">
        <v>4949</v>
      </c>
      <c r="F5" s="1">
        <v>36</v>
      </c>
      <c r="G5" s="1" t="str">
        <f>_xlfn.XLOOKUP(Transactions!$C5,Clients[Client_ID],Clients[Client_Name])</f>
        <v>Client_41</v>
      </c>
      <c r="H5" s="1" t="str">
        <f>_xlfn.XLOOKUP(Transactions!$B5,Properties[Property_ID],Properties[City])</f>
        <v>San Francisco</v>
      </c>
      <c r="I5" s="1" t="str">
        <f>_xlfn.XLOOKUP(Transactions!$B5,Properties[Property_ID],Properties[Property_Type])</f>
        <v>Residential</v>
      </c>
      <c r="J5" s="1" t="str">
        <f>_xlfn.XLOOKUP(Transactions!$B5,Properties[Property_ID],Properties[Landlord_Name])</f>
        <v>Landlord_25</v>
      </c>
    </row>
    <row r="6" spans="1:10" x14ac:dyDescent="0.3">
      <c r="A6" s="14" t="s">
        <v>403</v>
      </c>
      <c r="B6" s="2" t="s">
        <v>144</v>
      </c>
      <c r="C6" s="2" t="s">
        <v>351</v>
      </c>
      <c r="D6" s="15">
        <v>45176</v>
      </c>
      <c r="E6" s="2">
        <v>6791</v>
      </c>
      <c r="F6" s="2">
        <v>18</v>
      </c>
      <c r="G6" s="2" t="str">
        <f>_xlfn.XLOOKUP(Transactions!$C6,Clients[Client_ID],Clients[Client_Name])</f>
        <v>Client_79</v>
      </c>
      <c r="H6" s="2" t="str">
        <f>_xlfn.XLOOKUP(Transactions!$B6,Properties[Property_ID],Properties[City])</f>
        <v>Houston</v>
      </c>
      <c r="I6" s="2" t="str">
        <f>_xlfn.XLOOKUP(Transactions!$B6,Properties[Property_ID],Properties[Property_Type])</f>
        <v>Commercial</v>
      </c>
      <c r="J6" s="1" t="str">
        <f>_xlfn.XLOOKUP(Transactions!$B6,Properties[Property_ID],Properties[Landlord_Name])</f>
        <v>Landlord_8</v>
      </c>
    </row>
    <row r="7" spans="1:10" x14ac:dyDescent="0.3">
      <c r="A7" s="12" t="s">
        <v>404</v>
      </c>
      <c r="B7" s="1" t="s">
        <v>87</v>
      </c>
      <c r="C7" s="1" t="s">
        <v>329</v>
      </c>
      <c r="D7" s="13">
        <v>45353</v>
      </c>
      <c r="E7" s="1">
        <v>1474</v>
      </c>
      <c r="F7" s="1">
        <v>6</v>
      </c>
      <c r="G7" s="1" t="str">
        <f>_xlfn.XLOOKUP(Transactions!$C7,Clients[Client_ID],Clients[Client_Name])</f>
        <v>Client_68</v>
      </c>
      <c r="H7" s="1" t="str">
        <f>_xlfn.XLOOKUP(Transactions!$B7,Properties[Property_ID],Properties[City])</f>
        <v>Phoenix</v>
      </c>
      <c r="I7" s="1" t="str">
        <f>_xlfn.XLOOKUP(Transactions!$B7,Properties[Property_ID],Properties[Property_Type])</f>
        <v>Commercial</v>
      </c>
      <c r="J7" s="1" t="str">
        <f>_xlfn.XLOOKUP(Transactions!$B7,Properties[Property_ID],Properties[Landlord_Name])</f>
        <v>Landlord_11</v>
      </c>
    </row>
    <row r="8" spans="1:10" x14ac:dyDescent="0.3">
      <c r="A8" s="14" t="s">
        <v>405</v>
      </c>
      <c r="B8" s="2" t="s">
        <v>136</v>
      </c>
      <c r="C8" s="2" t="s">
        <v>255</v>
      </c>
      <c r="D8" s="15">
        <v>45462</v>
      </c>
      <c r="E8" s="2">
        <v>3971</v>
      </c>
      <c r="F8" s="2">
        <v>12</v>
      </c>
      <c r="G8" s="2" t="str">
        <f>_xlfn.XLOOKUP(Transactions!$C8,Clients[Client_ID],Clients[Client_Name])</f>
        <v>Client_31</v>
      </c>
      <c r="H8" s="2" t="str">
        <f>_xlfn.XLOOKUP(Transactions!$B8,Properties[Property_ID],Properties[City])</f>
        <v>Houston</v>
      </c>
      <c r="I8" s="2" t="str">
        <f>_xlfn.XLOOKUP(Transactions!$B8,Properties[Property_ID],Properties[Property_Type])</f>
        <v>Commercial</v>
      </c>
      <c r="J8" s="1" t="str">
        <f>_xlfn.XLOOKUP(Transactions!$B8,Properties[Property_ID],Properties[Landlord_Name])</f>
        <v>Landlord_26</v>
      </c>
    </row>
    <row r="9" spans="1:10" x14ac:dyDescent="0.3">
      <c r="A9" s="12" t="s">
        <v>406</v>
      </c>
      <c r="B9" s="1" t="s">
        <v>180</v>
      </c>
      <c r="C9" s="1" t="s">
        <v>377</v>
      </c>
      <c r="D9" s="13">
        <v>44920</v>
      </c>
      <c r="E9" s="1">
        <v>7206</v>
      </c>
      <c r="F9" s="1">
        <v>36</v>
      </c>
      <c r="G9" s="1" t="str">
        <f>_xlfn.XLOOKUP(Transactions!$C9,Clients[Client_ID],Clients[Client_Name])</f>
        <v>Client_92</v>
      </c>
      <c r="H9" s="1" t="str">
        <f>_xlfn.XLOOKUP(Transactions!$B9,Properties[Property_ID],Properties[City])</f>
        <v>New York</v>
      </c>
      <c r="I9" s="1" t="str">
        <f>_xlfn.XLOOKUP(Transactions!$B9,Properties[Property_ID],Properties[Property_Type])</f>
        <v>Commercial</v>
      </c>
      <c r="J9" s="1" t="str">
        <f>_xlfn.XLOOKUP(Transactions!$B9,Properties[Property_ID],Properties[Landlord_Name])</f>
        <v>Landlord_2</v>
      </c>
    </row>
    <row r="10" spans="1:10" x14ac:dyDescent="0.3">
      <c r="A10" s="14" t="s">
        <v>407</v>
      </c>
      <c r="B10" s="2" t="s">
        <v>112</v>
      </c>
      <c r="C10" s="2" t="s">
        <v>371</v>
      </c>
      <c r="D10" s="15">
        <v>45104</v>
      </c>
      <c r="E10" s="2">
        <v>5854</v>
      </c>
      <c r="F10" s="2">
        <v>18</v>
      </c>
      <c r="G10" s="2" t="str">
        <f>_xlfn.XLOOKUP(Transactions!$C10,Clients[Client_ID],Clients[Client_Name])</f>
        <v>Client_89</v>
      </c>
      <c r="H10" s="2" t="str">
        <f>_xlfn.XLOOKUP(Transactions!$B10,Properties[Property_ID],Properties[City])</f>
        <v>Boston</v>
      </c>
      <c r="I10" s="2" t="str">
        <f>_xlfn.XLOOKUP(Transactions!$B10,Properties[Property_ID],Properties[Property_Type])</f>
        <v>Commercial</v>
      </c>
      <c r="J10" s="1" t="str">
        <f>_xlfn.XLOOKUP(Transactions!$B10,Properties[Property_ID],Properties[Landlord_Name])</f>
        <v>Landlord_24</v>
      </c>
    </row>
    <row r="11" spans="1:10" x14ac:dyDescent="0.3">
      <c r="A11" s="12" t="s">
        <v>408</v>
      </c>
      <c r="B11" s="1" t="s">
        <v>114</v>
      </c>
      <c r="C11" s="1" t="s">
        <v>309</v>
      </c>
      <c r="D11" s="13">
        <v>45001</v>
      </c>
      <c r="E11" s="1">
        <v>5491</v>
      </c>
      <c r="F11" s="1">
        <v>18</v>
      </c>
      <c r="G11" s="1" t="str">
        <f>_xlfn.XLOOKUP(Transactions!$C11,Clients[Client_ID],Clients[Client_Name])</f>
        <v>Client_58</v>
      </c>
      <c r="H11" s="1" t="str">
        <f>_xlfn.XLOOKUP(Transactions!$B11,Properties[Property_ID],Properties[City])</f>
        <v>San Francisco</v>
      </c>
      <c r="I11" s="1" t="str">
        <f>_xlfn.XLOOKUP(Transactions!$B11,Properties[Property_ID],Properties[Property_Type])</f>
        <v>Residential</v>
      </c>
      <c r="J11" s="1" t="str">
        <f>_xlfn.XLOOKUP(Transactions!$B11,Properties[Property_ID],Properties[Landlord_Name])</f>
        <v>Landlord_29</v>
      </c>
    </row>
    <row r="12" spans="1:10" x14ac:dyDescent="0.3">
      <c r="A12" s="14" t="s">
        <v>409</v>
      </c>
      <c r="B12" s="2" t="s">
        <v>135</v>
      </c>
      <c r="C12" s="2" t="s">
        <v>245</v>
      </c>
      <c r="D12" s="15">
        <v>45414</v>
      </c>
      <c r="E12" s="2">
        <v>3046</v>
      </c>
      <c r="F12" s="2">
        <v>6</v>
      </c>
      <c r="G12" s="2" t="str">
        <f>_xlfn.XLOOKUP(Transactions!$C12,Clients[Client_ID],Clients[Client_Name])</f>
        <v>Client_26</v>
      </c>
      <c r="H12" s="2" t="str">
        <f>_xlfn.XLOOKUP(Transactions!$B12,Properties[Property_ID],Properties[City])</f>
        <v>Houston</v>
      </c>
      <c r="I12" s="2" t="str">
        <f>_xlfn.XLOOKUP(Transactions!$B12,Properties[Property_ID],Properties[Property_Type])</f>
        <v>Residential</v>
      </c>
      <c r="J12" s="1" t="str">
        <f>_xlfn.XLOOKUP(Transactions!$B12,Properties[Property_ID],Properties[Landlord_Name])</f>
        <v>Landlord_26</v>
      </c>
    </row>
    <row r="13" spans="1:10" x14ac:dyDescent="0.3">
      <c r="A13" s="12" t="s">
        <v>410</v>
      </c>
      <c r="B13" s="1" t="s">
        <v>170</v>
      </c>
      <c r="C13" s="1" t="s">
        <v>311</v>
      </c>
      <c r="D13" s="13">
        <v>44610</v>
      </c>
      <c r="E13" s="1">
        <v>2094</v>
      </c>
      <c r="F13" s="1">
        <v>36</v>
      </c>
      <c r="G13" s="1" t="str">
        <f>_xlfn.XLOOKUP(Transactions!$C13,Clients[Client_ID],Clients[Client_Name])</f>
        <v>Client_59</v>
      </c>
      <c r="H13" s="1" t="str">
        <f>_xlfn.XLOOKUP(Transactions!$B13,Properties[Property_ID],Properties[City])</f>
        <v>New York</v>
      </c>
      <c r="I13" s="1" t="str">
        <f>_xlfn.XLOOKUP(Transactions!$B13,Properties[Property_ID],Properties[Property_Type])</f>
        <v>Commercial</v>
      </c>
      <c r="J13" s="1" t="str">
        <f>_xlfn.XLOOKUP(Transactions!$B13,Properties[Property_ID],Properties[Landlord_Name])</f>
        <v>Landlord_2</v>
      </c>
    </row>
    <row r="14" spans="1:10" x14ac:dyDescent="0.3">
      <c r="A14" s="14" t="s">
        <v>411</v>
      </c>
      <c r="B14" s="2" t="s">
        <v>165</v>
      </c>
      <c r="C14" s="2" t="s">
        <v>319</v>
      </c>
      <c r="D14" s="15">
        <v>45240</v>
      </c>
      <c r="E14" s="2">
        <v>6184</v>
      </c>
      <c r="F14" s="2">
        <v>36</v>
      </c>
      <c r="G14" s="2" t="str">
        <f>_xlfn.XLOOKUP(Transactions!$C14,Clients[Client_ID],Clients[Client_Name])</f>
        <v>Client_63</v>
      </c>
      <c r="H14" s="2" t="str">
        <f>_xlfn.XLOOKUP(Transactions!$B14,Properties[Property_ID],Properties[City])</f>
        <v>San Francisco</v>
      </c>
      <c r="I14" s="2" t="str">
        <f>_xlfn.XLOOKUP(Transactions!$B14,Properties[Property_ID],Properties[Property_Type])</f>
        <v>Residential</v>
      </c>
      <c r="J14" s="1" t="str">
        <f>_xlfn.XLOOKUP(Transactions!$B14,Properties[Property_ID],Properties[Landlord_Name])</f>
        <v>Landlord_25</v>
      </c>
    </row>
    <row r="15" spans="1:10" x14ac:dyDescent="0.3">
      <c r="A15" s="12" t="s">
        <v>412</v>
      </c>
      <c r="B15" s="1" t="s">
        <v>182</v>
      </c>
      <c r="C15" s="1" t="s">
        <v>385</v>
      </c>
      <c r="D15" s="13">
        <v>44796</v>
      </c>
      <c r="E15" s="1">
        <v>1075</v>
      </c>
      <c r="F15" s="1">
        <v>18</v>
      </c>
      <c r="G15" s="1" t="str">
        <f>_xlfn.XLOOKUP(Transactions!$C15,Clients[Client_ID],Clients[Client_Name])</f>
        <v>Client_96</v>
      </c>
      <c r="H15" s="1" t="str">
        <f>_xlfn.XLOOKUP(Transactions!$B15,Properties[Property_ID],Properties[City])</f>
        <v>Phoenix</v>
      </c>
      <c r="I15" s="1" t="str">
        <f>_xlfn.XLOOKUP(Transactions!$B15,Properties[Property_ID],Properties[Property_Type])</f>
        <v>Commercial</v>
      </c>
      <c r="J15" s="1" t="str">
        <f>_xlfn.XLOOKUP(Transactions!$B15,Properties[Property_ID],Properties[Landlord_Name])</f>
        <v>Landlord_6</v>
      </c>
    </row>
    <row r="16" spans="1:10" x14ac:dyDescent="0.3">
      <c r="A16" s="14" t="s">
        <v>413</v>
      </c>
      <c r="B16" s="2" t="s">
        <v>121</v>
      </c>
      <c r="C16" s="2" t="s">
        <v>277</v>
      </c>
      <c r="D16" s="15">
        <v>45075</v>
      </c>
      <c r="E16" s="2">
        <v>5511</v>
      </c>
      <c r="F16" s="2">
        <v>12</v>
      </c>
      <c r="G16" s="2" t="str">
        <f>_xlfn.XLOOKUP(Transactions!$C16,Clients[Client_ID],Clients[Client_Name])</f>
        <v>Client_42</v>
      </c>
      <c r="H16" s="2" t="str">
        <f>_xlfn.XLOOKUP(Transactions!$B16,Properties[Property_ID],Properties[City])</f>
        <v>San Francisco</v>
      </c>
      <c r="I16" s="2" t="str">
        <f>_xlfn.XLOOKUP(Transactions!$B16,Properties[Property_ID],Properties[Property_Type])</f>
        <v>Residential</v>
      </c>
      <c r="J16" s="1" t="str">
        <f>_xlfn.XLOOKUP(Transactions!$B16,Properties[Property_ID],Properties[Landlord_Name])</f>
        <v>Landlord_13</v>
      </c>
    </row>
    <row r="17" spans="1:10" x14ac:dyDescent="0.3">
      <c r="A17" s="12" t="s">
        <v>414</v>
      </c>
      <c r="B17" s="1" t="s">
        <v>106</v>
      </c>
      <c r="C17" s="1" t="s">
        <v>293</v>
      </c>
      <c r="D17" s="13">
        <v>45084</v>
      </c>
      <c r="E17" s="1">
        <v>6847</v>
      </c>
      <c r="F17" s="1">
        <v>24</v>
      </c>
      <c r="G17" s="1" t="str">
        <f>_xlfn.XLOOKUP(Transactions!$C17,Clients[Client_ID],Clients[Client_Name])</f>
        <v>Client_50</v>
      </c>
      <c r="H17" s="1" t="str">
        <f>_xlfn.XLOOKUP(Transactions!$B17,Properties[Property_ID],Properties[City])</f>
        <v>Houston</v>
      </c>
      <c r="I17" s="1" t="str">
        <f>_xlfn.XLOOKUP(Transactions!$B17,Properties[Property_ID],Properties[Property_Type])</f>
        <v>Residential</v>
      </c>
      <c r="J17" s="1" t="str">
        <f>_xlfn.XLOOKUP(Transactions!$B17,Properties[Property_ID],Properties[Landlord_Name])</f>
        <v>Landlord_15</v>
      </c>
    </row>
    <row r="18" spans="1:10" x14ac:dyDescent="0.3">
      <c r="A18" s="14" t="s">
        <v>415</v>
      </c>
      <c r="B18" s="2" t="s">
        <v>93</v>
      </c>
      <c r="C18" s="2" t="s">
        <v>263</v>
      </c>
      <c r="D18" s="15">
        <v>44992</v>
      </c>
      <c r="E18" s="2">
        <v>3813</v>
      </c>
      <c r="F18" s="2">
        <v>36</v>
      </c>
      <c r="G18" s="2" t="str">
        <f>_xlfn.XLOOKUP(Transactions!$C18,Clients[Client_ID],Clients[Client_Name])</f>
        <v>Client_35</v>
      </c>
      <c r="H18" s="2" t="str">
        <f>_xlfn.XLOOKUP(Transactions!$B18,Properties[Property_ID],Properties[City])</f>
        <v>Houston</v>
      </c>
      <c r="I18" s="2" t="str">
        <f>_xlfn.XLOOKUP(Transactions!$B18,Properties[Property_ID],Properties[Property_Type])</f>
        <v>Residential</v>
      </c>
      <c r="J18" s="1" t="str">
        <f>_xlfn.XLOOKUP(Transactions!$B18,Properties[Property_ID],Properties[Landlord_Name])</f>
        <v>Landlord_21</v>
      </c>
    </row>
    <row r="19" spans="1:10" x14ac:dyDescent="0.3">
      <c r="A19" s="12" t="s">
        <v>416</v>
      </c>
      <c r="B19" s="1" t="s">
        <v>181</v>
      </c>
      <c r="C19" s="1" t="s">
        <v>198</v>
      </c>
      <c r="D19" s="13">
        <v>45129</v>
      </c>
      <c r="E19" s="1">
        <v>879</v>
      </c>
      <c r="F19" s="1">
        <v>12</v>
      </c>
      <c r="G19" s="1" t="str">
        <f>_xlfn.XLOOKUP(Transactions!$C19,Clients[Client_ID],Clients[Client_Name])</f>
        <v>Client_3</v>
      </c>
      <c r="H19" s="1" t="str">
        <f>_xlfn.XLOOKUP(Transactions!$B19,Properties[Property_ID],Properties[City])</f>
        <v>New York</v>
      </c>
      <c r="I19" s="1" t="str">
        <f>_xlfn.XLOOKUP(Transactions!$B19,Properties[Property_ID],Properties[Property_Type])</f>
        <v>Commercial</v>
      </c>
      <c r="J19" s="1" t="str">
        <f>_xlfn.XLOOKUP(Transactions!$B19,Properties[Property_ID],Properties[Landlord_Name])</f>
        <v>Landlord_10</v>
      </c>
    </row>
    <row r="20" spans="1:10" x14ac:dyDescent="0.3">
      <c r="A20" s="14" t="s">
        <v>417</v>
      </c>
      <c r="B20" s="2" t="s">
        <v>123</v>
      </c>
      <c r="C20" s="2" t="s">
        <v>203</v>
      </c>
      <c r="D20" s="15">
        <v>44798</v>
      </c>
      <c r="E20" s="2">
        <v>4712</v>
      </c>
      <c r="F20" s="2">
        <v>6</v>
      </c>
      <c r="G20" s="2" t="str">
        <f>_xlfn.XLOOKUP(Transactions!$C20,Clients[Client_ID],Clients[Client_Name])</f>
        <v>Client_5</v>
      </c>
      <c r="H20" s="2" t="str">
        <f>_xlfn.XLOOKUP(Transactions!$B20,Properties[Property_ID],Properties[City])</f>
        <v>New York</v>
      </c>
      <c r="I20" s="2" t="str">
        <f>_xlfn.XLOOKUP(Transactions!$B20,Properties[Property_ID],Properties[Property_Type])</f>
        <v>Commercial</v>
      </c>
      <c r="J20" s="1" t="str">
        <f>_xlfn.XLOOKUP(Transactions!$B20,Properties[Property_ID],Properties[Landlord_Name])</f>
        <v>Landlord_14</v>
      </c>
    </row>
    <row r="21" spans="1:10" x14ac:dyDescent="0.3">
      <c r="A21" s="12" t="s">
        <v>418</v>
      </c>
      <c r="B21" s="1" t="s">
        <v>142</v>
      </c>
      <c r="C21" s="1" t="s">
        <v>351</v>
      </c>
      <c r="D21" s="13">
        <v>45266</v>
      </c>
      <c r="E21" s="1">
        <v>6118</v>
      </c>
      <c r="F21" s="1">
        <v>36</v>
      </c>
      <c r="G21" s="1" t="str">
        <f>_xlfn.XLOOKUP(Transactions!$C21,Clients[Client_ID],Clients[Client_Name])</f>
        <v>Client_79</v>
      </c>
      <c r="H21" s="1" t="str">
        <f>_xlfn.XLOOKUP(Transactions!$B21,Properties[Property_ID],Properties[City])</f>
        <v>Phoenix</v>
      </c>
      <c r="I21" s="1" t="str">
        <f>_xlfn.XLOOKUP(Transactions!$B21,Properties[Property_ID],Properties[Property_Type])</f>
        <v>Commercial</v>
      </c>
      <c r="J21" s="1" t="str">
        <f>_xlfn.XLOOKUP(Transactions!$B21,Properties[Property_ID],Properties[Landlord_Name])</f>
        <v>Landlord_11</v>
      </c>
    </row>
    <row r="22" spans="1:10" x14ac:dyDescent="0.3">
      <c r="A22" s="14" t="s">
        <v>419</v>
      </c>
      <c r="B22" s="2" t="s">
        <v>87</v>
      </c>
      <c r="C22" s="2" t="s">
        <v>227</v>
      </c>
      <c r="D22" s="15">
        <v>44767</v>
      </c>
      <c r="E22" s="2">
        <v>2999</v>
      </c>
      <c r="F22" s="2">
        <v>36</v>
      </c>
      <c r="G22" s="2" t="str">
        <f>_xlfn.XLOOKUP(Transactions!$C22,Clients[Client_ID],Clients[Client_Name])</f>
        <v>Client_17</v>
      </c>
      <c r="H22" s="2" t="str">
        <f>_xlfn.XLOOKUP(Transactions!$B22,Properties[Property_ID],Properties[City])</f>
        <v>Phoenix</v>
      </c>
      <c r="I22" s="2" t="str">
        <f>_xlfn.XLOOKUP(Transactions!$B22,Properties[Property_ID],Properties[Property_Type])</f>
        <v>Commercial</v>
      </c>
      <c r="J22" s="1" t="str">
        <f>_xlfn.XLOOKUP(Transactions!$B22,Properties[Property_ID],Properties[Landlord_Name])</f>
        <v>Landlord_11</v>
      </c>
    </row>
    <row r="23" spans="1:10" x14ac:dyDescent="0.3">
      <c r="A23" s="12" t="s">
        <v>420</v>
      </c>
      <c r="B23" s="1" t="s">
        <v>155</v>
      </c>
      <c r="C23" s="1" t="s">
        <v>225</v>
      </c>
      <c r="D23" s="13">
        <v>45144</v>
      </c>
      <c r="E23" s="1">
        <v>987</v>
      </c>
      <c r="F23" s="1">
        <v>6</v>
      </c>
      <c r="G23" s="1" t="str">
        <f>_xlfn.XLOOKUP(Transactions!$C23,Clients[Client_ID],Clients[Client_Name])</f>
        <v>Client_16</v>
      </c>
      <c r="H23" s="1" t="str">
        <f>_xlfn.XLOOKUP(Transactions!$B23,Properties[Property_ID],Properties[City])</f>
        <v>Houston</v>
      </c>
      <c r="I23" s="1" t="str">
        <f>_xlfn.XLOOKUP(Transactions!$B23,Properties[Property_ID],Properties[Property_Type])</f>
        <v>Commercial</v>
      </c>
      <c r="J23" s="1" t="str">
        <f>_xlfn.XLOOKUP(Transactions!$B23,Properties[Property_ID],Properties[Landlord_Name])</f>
        <v>Landlord_15</v>
      </c>
    </row>
    <row r="24" spans="1:10" x14ac:dyDescent="0.3">
      <c r="A24" s="14" t="s">
        <v>421</v>
      </c>
      <c r="B24" s="2" t="s">
        <v>139</v>
      </c>
      <c r="C24" s="2" t="s">
        <v>319</v>
      </c>
      <c r="D24" s="15">
        <v>44642</v>
      </c>
      <c r="E24" s="2">
        <v>4284</v>
      </c>
      <c r="F24" s="2">
        <v>6</v>
      </c>
      <c r="G24" s="2" t="str">
        <f>_xlfn.XLOOKUP(Transactions!$C24,Clients[Client_ID],Clients[Client_Name])</f>
        <v>Client_63</v>
      </c>
      <c r="H24" s="2" t="str">
        <f>_xlfn.XLOOKUP(Transactions!$B24,Properties[Property_ID],Properties[City])</f>
        <v>Houston</v>
      </c>
      <c r="I24" s="2" t="str">
        <f>_xlfn.XLOOKUP(Transactions!$B24,Properties[Property_ID],Properties[Property_Type])</f>
        <v>Residential</v>
      </c>
      <c r="J24" s="1" t="str">
        <f>_xlfn.XLOOKUP(Transactions!$B24,Properties[Property_ID],Properties[Landlord_Name])</f>
        <v>Landlord_20</v>
      </c>
    </row>
    <row r="25" spans="1:10" x14ac:dyDescent="0.3">
      <c r="A25" s="12" t="s">
        <v>422</v>
      </c>
      <c r="B25" s="1" t="s">
        <v>182</v>
      </c>
      <c r="C25" s="1" t="s">
        <v>203</v>
      </c>
      <c r="D25" s="13">
        <v>45110</v>
      </c>
      <c r="E25" s="1">
        <v>5425</v>
      </c>
      <c r="F25" s="1">
        <v>36</v>
      </c>
      <c r="G25" s="1" t="str">
        <f>_xlfn.XLOOKUP(Transactions!$C25,Clients[Client_ID],Clients[Client_Name])</f>
        <v>Client_5</v>
      </c>
      <c r="H25" s="1" t="str">
        <f>_xlfn.XLOOKUP(Transactions!$B25,Properties[Property_ID],Properties[City])</f>
        <v>Phoenix</v>
      </c>
      <c r="I25" s="1" t="str">
        <f>_xlfn.XLOOKUP(Transactions!$B25,Properties[Property_ID],Properties[Property_Type])</f>
        <v>Commercial</v>
      </c>
      <c r="J25" s="1" t="str">
        <f>_xlfn.XLOOKUP(Transactions!$B25,Properties[Property_ID],Properties[Landlord_Name])</f>
        <v>Landlord_6</v>
      </c>
    </row>
    <row r="26" spans="1:10" x14ac:dyDescent="0.3">
      <c r="A26" s="14" t="s">
        <v>423</v>
      </c>
      <c r="B26" s="2" t="s">
        <v>100</v>
      </c>
      <c r="C26" s="2" t="s">
        <v>221</v>
      </c>
      <c r="D26" s="15">
        <v>45390</v>
      </c>
      <c r="E26" s="2">
        <v>6697</v>
      </c>
      <c r="F26" s="2">
        <v>6</v>
      </c>
      <c r="G26" s="2" t="str">
        <f>_xlfn.XLOOKUP(Transactions!$C26,Clients[Client_ID],Clients[Client_Name])</f>
        <v>Client_14</v>
      </c>
      <c r="H26" s="2" t="str">
        <f>_xlfn.XLOOKUP(Transactions!$B26,Properties[Property_ID],Properties[City])</f>
        <v>Chicago</v>
      </c>
      <c r="I26" s="2" t="str">
        <f>_xlfn.XLOOKUP(Transactions!$B26,Properties[Property_ID],Properties[Property_Type])</f>
        <v>Commercial</v>
      </c>
      <c r="J26" s="1" t="str">
        <f>_xlfn.XLOOKUP(Transactions!$B26,Properties[Property_ID],Properties[Landlord_Name])</f>
        <v>Landlord_19</v>
      </c>
    </row>
    <row r="27" spans="1:10" x14ac:dyDescent="0.3">
      <c r="A27" s="12" t="s">
        <v>424</v>
      </c>
      <c r="B27" s="1" t="s">
        <v>137</v>
      </c>
      <c r="C27" s="1" t="s">
        <v>353</v>
      </c>
      <c r="D27" s="13">
        <v>45263</v>
      </c>
      <c r="E27" s="1">
        <v>5660</v>
      </c>
      <c r="F27" s="1">
        <v>6</v>
      </c>
      <c r="G27" s="1" t="str">
        <f>_xlfn.XLOOKUP(Transactions!$C27,Clients[Client_ID],Clients[Client_Name])</f>
        <v>Client_80</v>
      </c>
      <c r="H27" s="1" t="str">
        <f>_xlfn.XLOOKUP(Transactions!$B27,Properties[Property_ID],Properties[City])</f>
        <v>San Francisco</v>
      </c>
      <c r="I27" s="1" t="str">
        <f>_xlfn.XLOOKUP(Transactions!$B27,Properties[Property_ID],Properties[Property_Type])</f>
        <v>Commercial</v>
      </c>
      <c r="J27" s="1" t="str">
        <f>_xlfn.XLOOKUP(Transactions!$B27,Properties[Property_ID],Properties[Landlord_Name])</f>
        <v>Landlord_13</v>
      </c>
    </row>
    <row r="28" spans="1:10" x14ac:dyDescent="0.3">
      <c r="A28" s="14" t="s">
        <v>425</v>
      </c>
      <c r="B28" s="2" t="s">
        <v>150</v>
      </c>
      <c r="C28" s="2" t="s">
        <v>319</v>
      </c>
      <c r="D28" s="15">
        <v>44964</v>
      </c>
      <c r="E28" s="2">
        <v>5264</v>
      </c>
      <c r="F28" s="2">
        <v>6</v>
      </c>
      <c r="G28" s="2" t="str">
        <f>_xlfn.XLOOKUP(Transactions!$C28,Clients[Client_ID],Clients[Client_Name])</f>
        <v>Client_63</v>
      </c>
      <c r="H28" s="2" t="str">
        <f>_xlfn.XLOOKUP(Transactions!$B28,Properties[Property_ID],Properties[City])</f>
        <v>New York</v>
      </c>
      <c r="I28" s="2" t="str">
        <f>_xlfn.XLOOKUP(Transactions!$B28,Properties[Property_ID],Properties[Property_Type])</f>
        <v>Commercial</v>
      </c>
      <c r="J28" s="1" t="str">
        <f>_xlfn.XLOOKUP(Transactions!$B28,Properties[Property_ID],Properties[Landlord_Name])</f>
        <v>Landlord_28</v>
      </c>
    </row>
    <row r="29" spans="1:10" x14ac:dyDescent="0.3">
      <c r="A29" s="12" t="s">
        <v>426</v>
      </c>
      <c r="B29" s="1" t="s">
        <v>171</v>
      </c>
      <c r="C29" s="1" t="s">
        <v>323</v>
      </c>
      <c r="D29" s="13">
        <v>44705</v>
      </c>
      <c r="E29" s="1">
        <v>2382</v>
      </c>
      <c r="F29" s="1">
        <v>24</v>
      </c>
      <c r="G29" s="1" t="str">
        <f>_xlfn.XLOOKUP(Transactions!$C29,Clients[Client_ID],Clients[Client_Name])</f>
        <v>Client_65</v>
      </c>
      <c r="H29" s="1" t="str">
        <f>_xlfn.XLOOKUP(Transactions!$B29,Properties[Property_ID],Properties[City])</f>
        <v>Houston</v>
      </c>
      <c r="I29" s="1" t="str">
        <f>_xlfn.XLOOKUP(Transactions!$B29,Properties[Property_ID],Properties[Property_Type])</f>
        <v>Residential</v>
      </c>
      <c r="J29" s="1" t="str">
        <f>_xlfn.XLOOKUP(Transactions!$B29,Properties[Property_ID],Properties[Landlord_Name])</f>
        <v>Landlord_3</v>
      </c>
    </row>
    <row r="30" spans="1:10" x14ac:dyDescent="0.3">
      <c r="A30" s="14" t="s">
        <v>427</v>
      </c>
      <c r="B30" s="2" t="s">
        <v>122</v>
      </c>
      <c r="C30" s="2" t="s">
        <v>217</v>
      </c>
      <c r="D30" s="15">
        <v>45450</v>
      </c>
      <c r="E30" s="2">
        <v>2674</v>
      </c>
      <c r="F30" s="2">
        <v>12</v>
      </c>
      <c r="G30" s="2" t="str">
        <f>_xlfn.XLOOKUP(Transactions!$C30,Clients[Client_ID],Clients[Client_Name])</f>
        <v>Client_12</v>
      </c>
      <c r="H30" s="2" t="str">
        <f>_xlfn.XLOOKUP(Transactions!$B30,Properties[Property_ID],Properties[City])</f>
        <v>Phoenix</v>
      </c>
      <c r="I30" s="2" t="str">
        <f>_xlfn.XLOOKUP(Transactions!$B30,Properties[Property_ID],Properties[Property_Type])</f>
        <v>Residential</v>
      </c>
      <c r="J30" s="1" t="str">
        <f>_xlfn.XLOOKUP(Transactions!$B30,Properties[Property_ID],Properties[Landlord_Name])</f>
        <v>Landlord_12</v>
      </c>
    </row>
    <row r="31" spans="1:10" x14ac:dyDescent="0.3">
      <c r="A31" s="12" t="s">
        <v>428</v>
      </c>
      <c r="B31" s="1" t="s">
        <v>153</v>
      </c>
      <c r="C31" s="1" t="s">
        <v>369</v>
      </c>
      <c r="D31" s="13">
        <v>45179</v>
      </c>
      <c r="E31" s="1">
        <v>6017</v>
      </c>
      <c r="F31" s="1">
        <v>6</v>
      </c>
      <c r="G31" s="1" t="str">
        <f>_xlfn.XLOOKUP(Transactions!$C31,Clients[Client_ID],Clients[Client_Name])</f>
        <v>Client_88</v>
      </c>
      <c r="H31" s="1" t="str">
        <f>_xlfn.XLOOKUP(Transactions!$B31,Properties[Property_ID],Properties[City])</f>
        <v>San Francisco</v>
      </c>
      <c r="I31" s="1" t="str">
        <f>_xlfn.XLOOKUP(Transactions!$B31,Properties[Property_ID],Properties[Property_Type])</f>
        <v>Residential</v>
      </c>
      <c r="J31" s="1" t="str">
        <f>_xlfn.XLOOKUP(Transactions!$B31,Properties[Property_ID],Properties[Landlord_Name])</f>
        <v>Landlord_29</v>
      </c>
    </row>
    <row r="32" spans="1:10" x14ac:dyDescent="0.3">
      <c r="A32" s="14" t="s">
        <v>429</v>
      </c>
      <c r="B32" s="2" t="s">
        <v>88</v>
      </c>
      <c r="C32" s="2" t="s">
        <v>225</v>
      </c>
      <c r="D32" s="15">
        <v>45358</v>
      </c>
      <c r="E32" s="2">
        <v>4877</v>
      </c>
      <c r="F32" s="2">
        <v>36</v>
      </c>
      <c r="G32" s="2" t="str">
        <f>_xlfn.XLOOKUP(Transactions!$C32,Clients[Client_ID],Clients[Client_Name])</f>
        <v>Client_16</v>
      </c>
      <c r="H32" s="2" t="str">
        <f>_xlfn.XLOOKUP(Transactions!$B32,Properties[Property_ID],Properties[City])</f>
        <v>San Francisco</v>
      </c>
      <c r="I32" s="2" t="str">
        <f>_xlfn.XLOOKUP(Transactions!$B32,Properties[Property_ID],Properties[Property_Type])</f>
        <v>Residential</v>
      </c>
      <c r="J32" s="1" t="str">
        <f>_xlfn.XLOOKUP(Transactions!$B32,Properties[Property_ID],Properties[Landlord_Name])</f>
        <v>Landlord_13</v>
      </c>
    </row>
    <row r="33" spans="1:10" x14ac:dyDescent="0.3">
      <c r="A33" s="12" t="s">
        <v>430</v>
      </c>
      <c r="B33" s="1" t="s">
        <v>164</v>
      </c>
      <c r="C33" s="1" t="s">
        <v>393</v>
      </c>
      <c r="D33" s="13">
        <v>45357</v>
      </c>
      <c r="E33" s="1">
        <v>7910</v>
      </c>
      <c r="F33" s="1">
        <v>36</v>
      </c>
      <c r="G33" s="1" t="str">
        <f>_xlfn.XLOOKUP(Transactions!$C33,Clients[Client_ID],Clients[Client_Name])</f>
        <v>Client_100</v>
      </c>
      <c r="H33" s="1" t="str">
        <f>_xlfn.XLOOKUP(Transactions!$B33,Properties[Property_ID],Properties[City])</f>
        <v>San Francisco</v>
      </c>
      <c r="I33" s="1" t="str">
        <f>_xlfn.XLOOKUP(Transactions!$B33,Properties[Property_ID],Properties[Property_Type])</f>
        <v>Commercial</v>
      </c>
      <c r="J33" s="1" t="str">
        <f>_xlfn.XLOOKUP(Transactions!$B33,Properties[Property_ID],Properties[Landlord_Name])</f>
        <v>Landlord_29</v>
      </c>
    </row>
    <row r="34" spans="1:10" x14ac:dyDescent="0.3">
      <c r="A34" s="14" t="s">
        <v>431</v>
      </c>
      <c r="B34" s="2" t="s">
        <v>102</v>
      </c>
      <c r="C34" s="2" t="s">
        <v>373</v>
      </c>
      <c r="D34" s="15">
        <v>44802</v>
      </c>
      <c r="E34" s="2">
        <v>7139</v>
      </c>
      <c r="F34" s="2">
        <v>12</v>
      </c>
      <c r="G34" s="2" t="str">
        <f>_xlfn.XLOOKUP(Transactions!$C34,Clients[Client_ID],Clients[Client_Name])</f>
        <v>Client_90</v>
      </c>
      <c r="H34" s="2" t="str">
        <f>_xlfn.XLOOKUP(Transactions!$B34,Properties[Property_ID],Properties[City])</f>
        <v>San Francisco</v>
      </c>
      <c r="I34" s="2" t="str">
        <f>_xlfn.XLOOKUP(Transactions!$B34,Properties[Property_ID],Properties[Property_Type])</f>
        <v>Commercial</v>
      </c>
      <c r="J34" s="1" t="str">
        <f>_xlfn.XLOOKUP(Transactions!$B34,Properties[Property_ID],Properties[Landlord_Name])</f>
        <v>Landlord_29</v>
      </c>
    </row>
    <row r="35" spans="1:10" x14ac:dyDescent="0.3">
      <c r="A35" s="12" t="s">
        <v>432</v>
      </c>
      <c r="B35" s="1" t="s">
        <v>185</v>
      </c>
      <c r="C35" s="1" t="s">
        <v>317</v>
      </c>
      <c r="D35" s="13">
        <v>44927</v>
      </c>
      <c r="E35" s="1">
        <v>3103</v>
      </c>
      <c r="F35" s="1">
        <v>6</v>
      </c>
      <c r="G35" s="1" t="str">
        <f>_xlfn.XLOOKUP(Transactions!$C35,Clients[Client_ID],Clients[Client_Name])</f>
        <v>Client_62</v>
      </c>
      <c r="H35" s="1" t="str">
        <f>_xlfn.XLOOKUP(Transactions!$B35,Properties[Property_ID],Properties[City])</f>
        <v>Phoenix</v>
      </c>
      <c r="I35" s="1" t="str">
        <f>_xlfn.XLOOKUP(Transactions!$B35,Properties[Property_ID],Properties[Property_Type])</f>
        <v>Commercial</v>
      </c>
      <c r="J35" s="1" t="str">
        <f>_xlfn.XLOOKUP(Transactions!$B35,Properties[Property_ID],Properties[Landlord_Name])</f>
        <v>Landlord_6</v>
      </c>
    </row>
    <row r="36" spans="1:10" x14ac:dyDescent="0.3">
      <c r="A36" s="14" t="s">
        <v>433</v>
      </c>
      <c r="B36" s="2" t="s">
        <v>101</v>
      </c>
      <c r="C36" s="2" t="s">
        <v>289</v>
      </c>
      <c r="D36" s="15">
        <v>44792</v>
      </c>
      <c r="E36" s="2">
        <v>5441</v>
      </c>
      <c r="F36" s="2">
        <v>36</v>
      </c>
      <c r="G36" s="2" t="str">
        <f>_xlfn.XLOOKUP(Transactions!$C36,Clients[Client_ID],Clients[Client_Name])</f>
        <v>Client_48</v>
      </c>
      <c r="H36" s="2" t="str">
        <f>_xlfn.XLOOKUP(Transactions!$B36,Properties[Property_ID],Properties[City])</f>
        <v>Phoenix</v>
      </c>
      <c r="I36" s="2" t="str">
        <f>_xlfn.XLOOKUP(Transactions!$B36,Properties[Property_ID],Properties[Property_Type])</f>
        <v>Commercial</v>
      </c>
      <c r="J36" s="1" t="str">
        <f>_xlfn.XLOOKUP(Transactions!$B36,Properties[Property_ID],Properties[Landlord_Name])</f>
        <v>Landlord_5</v>
      </c>
    </row>
    <row r="37" spans="1:10" x14ac:dyDescent="0.3">
      <c r="A37" s="12" t="s">
        <v>434</v>
      </c>
      <c r="B37" s="1" t="s">
        <v>157</v>
      </c>
      <c r="C37" s="1" t="s">
        <v>345</v>
      </c>
      <c r="D37" s="13">
        <v>44586</v>
      </c>
      <c r="E37" s="1">
        <v>1389</v>
      </c>
      <c r="F37" s="1">
        <v>18</v>
      </c>
      <c r="G37" s="1" t="str">
        <f>_xlfn.XLOOKUP(Transactions!$C37,Clients[Client_ID],Clients[Client_Name])</f>
        <v>Client_76</v>
      </c>
      <c r="H37" s="1" t="str">
        <f>_xlfn.XLOOKUP(Transactions!$B37,Properties[Property_ID],Properties[City])</f>
        <v>Boston</v>
      </c>
      <c r="I37" s="1" t="str">
        <f>_xlfn.XLOOKUP(Transactions!$B37,Properties[Property_ID],Properties[Property_Type])</f>
        <v>Residential</v>
      </c>
      <c r="J37" s="1" t="str">
        <f>_xlfn.XLOOKUP(Transactions!$B37,Properties[Property_ID],Properties[Landlord_Name])</f>
        <v>Landlord_7</v>
      </c>
    </row>
    <row r="38" spans="1:10" x14ac:dyDescent="0.3">
      <c r="A38" s="14" t="s">
        <v>435</v>
      </c>
      <c r="B38" s="2" t="s">
        <v>169</v>
      </c>
      <c r="C38" s="2" t="s">
        <v>223</v>
      </c>
      <c r="D38" s="15">
        <v>44932</v>
      </c>
      <c r="E38" s="2">
        <v>2809</v>
      </c>
      <c r="F38" s="2">
        <v>12</v>
      </c>
      <c r="G38" s="2" t="str">
        <f>_xlfn.XLOOKUP(Transactions!$C38,Clients[Client_ID],Clients[Client_Name])</f>
        <v>Client_15</v>
      </c>
      <c r="H38" s="2" t="str">
        <f>_xlfn.XLOOKUP(Transactions!$B38,Properties[Property_ID],Properties[City])</f>
        <v>San Francisco</v>
      </c>
      <c r="I38" s="2" t="str">
        <f>_xlfn.XLOOKUP(Transactions!$B38,Properties[Property_ID],Properties[Property_Type])</f>
        <v>Residential</v>
      </c>
      <c r="J38" s="1" t="str">
        <f>_xlfn.XLOOKUP(Transactions!$B38,Properties[Property_ID],Properties[Landlord_Name])</f>
        <v>Landlord_25</v>
      </c>
    </row>
    <row r="39" spans="1:10" x14ac:dyDescent="0.3">
      <c r="A39" s="12" t="s">
        <v>436</v>
      </c>
      <c r="B39" s="1" t="s">
        <v>160</v>
      </c>
      <c r="C39" s="1" t="s">
        <v>223</v>
      </c>
      <c r="D39" s="13">
        <v>45013</v>
      </c>
      <c r="E39" s="1">
        <v>3766</v>
      </c>
      <c r="F39" s="1">
        <v>12</v>
      </c>
      <c r="G39" s="1" t="str">
        <f>_xlfn.XLOOKUP(Transactions!$C39,Clients[Client_ID],Clients[Client_Name])</f>
        <v>Client_15</v>
      </c>
      <c r="H39" s="1" t="str">
        <f>_xlfn.XLOOKUP(Transactions!$B39,Properties[Property_ID],Properties[City])</f>
        <v>Los Angeles</v>
      </c>
      <c r="I39" s="1" t="str">
        <f>_xlfn.XLOOKUP(Transactions!$B39,Properties[Property_ID],Properties[Property_Type])</f>
        <v>Residential</v>
      </c>
      <c r="J39" s="1" t="str">
        <f>_xlfn.XLOOKUP(Transactions!$B39,Properties[Property_ID],Properties[Landlord_Name])</f>
        <v>Landlord_9</v>
      </c>
    </row>
    <row r="40" spans="1:10" x14ac:dyDescent="0.3">
      <c r="A40" s="14" t="s">
        <v>437</v>
      </c>
      <c r="B40" s="2" t="s">
        <v>160</v>
      </c>
      <c r="C40" s="2" t="s">
        <v>247</v>
      </c>
      <c r="D40" s="15">
        <v>44899</v>
      </c>
      <c r="E40" s="2">
        <v>7511</v>
      </c>
      <c r="F40" s="2">
        <v>12</v>
      </c>
      <c r="G40" s="2" t="str">
        <f>_xlfn.XLOOKUP(Transactions!$C40,Clients[Client_ID],Clients[Client_Name])</f>
        <v>Client_27</v>
      </c>
      <c r="H40" s="2" t="str">
        <f>_xlfn.XLOOKUP(Transactions!$B40,Properties[Property_ID],Properties[City])</f>
        <v>Los Angeles</v>
      </c>
      <c r="I40" s="2" t="str">
        <f>_xlfn.XLOOKUP(Transactions!$B40,Properties[Property_ID],Properties[Property_Type])</f>
        <v>Residential</v>
      </c>
      <c r="J40" s="1" t="str">
        <f>_xlfn.XLOOKUP(Transactions!$B40,Properties[Property_ID],Properties[Landlord_Name])</f>
        <v>Landlord_9</v>
      </c>
    </row>
    <row r="41" spans="1:10" x14ac:dyDescent="0.3">
      <c r="A41" s="12" t="s">
        <v>438</v>
      </c>
      <c r="B41" s="1" t="s">
        <v>109</v>
      </c>
      <c r="C41" s="1" t="s">
        <v>345</v>
      </c>
      <c r="D41" s="13">
        <v>44973</v>
      </c>
      <c r="E41" s="1">
        <v>4871</v>
      </c>
      <c r="F41" s="1">
        <v>36</v>
      </c>
      <c r="G41" s="1" t="str">
        <f>_xlfn.XLOOKUP(Transactions!$C41,Clients[Client_ID],Clients[Client_Name])</f>
        <v>Client_76</v>
      </c>
      <c r="H41" s="1" t="str">
        <f>_xlfn.XLOOKUP(Transactions!$B41,Properties[Property_ID],Properties[City])</f>
        <v>Chicago</v>
      </c>
      <c r="I41" s="1" t="str">
        <f>_xlfn.XLOOKUP(Transactions!$B41,Properties[Property_ID],Properties[Property_Type])</f>
        <v>Residential</v>
      </c>
      <c r="J41" s="1" t="str">
        <f>_xlfn.XLOOKUP(Transactions!$B41,Properties[Property_ID],Properties[Landlord_Name])</f>
        <v>Landlord_19</v>
      </c>
    </row>
    <row r="42" spans="1:10" x14ac:dyDescent="0.3">
      <c r="A42" s="14" t="s">
        <v>439</v>
      </c>
      <c r="B42" s="2" t="s">
        <v>121</v>
      </c>
      <c r="C42" s="2" t="s">
        <v>227</v>
      </c>
      <c r="D42" s="15">
        <v>45134</v>
      </c>
      <c r="E42" s="2">
        <v>3883</v>
      </c>
      <c r="F42" s="2">
        <v>18</v>
      </c>
      <c r="G42" s="2" t="str">
        <f>_xlfn.XLOOKUP(Transactions!$C42,Clients[Client_ID],Clients[Client_Name])</f>
        <v>Client_17</v>
      </c>
      <c r="H42" s="2" t="str">
        <f>_xlfn.XLOOKUP(Transactions!$B42,Properties[Property_ID],Properties[City])</f>
        <v>San Francisco</v>
      </c>
      <c r="I42" s="2" t="str">
        <f>_xlfn.XLOOKUP(Transactions!$B42,Properties[Property_ID],Properties[Property_Type])</f>
        <v>Residential</v>
      </c>
      <c r="J42" s="1" t="str">
        <f>_xlfn.XLOOKUP(Transactions!$B42,Properties[Property_ID],Properties[Landlord_Name])</f>
        <v>Landlord_13</v>
      </c>
    </row>
    <row r="43" spans="1:10" x14ac:dyDescent="0.3">
      <c r="A43" s="12" t="s">
        <v>440</v>
      </c>
      <c r="B43" s="1" t="s">
        <v>135</v>
      </c>
      <c r="C43" s="1" t="s">
        <v>225</v>
      </c>
      <c r="D43" s="13">
        <v>44744</v>
      </c>
      <c r="E43" s="1">
        <v>6378</v>
      </c>
      <c r="F43" s="1">
        <v>18</v>
      </c>
      <c r="G43" s="1" t="str">
        <f>_xlfn.XLOOKUP(Transactions!$C43,Clients[Client_ID],Clients[Client_Name])</f>
        <v>Client_16</v>
      </c>
      <c r="H43" s="1" t="str">
        <f>_xlfn.XLOOKUP(Transactions!$B43,Properties[Property_ID],Properties[City])</f>
        <v>Houston</v>
      </c>
      <c r="I43" s="1" t="str">
        <f>_xlfn.XLOOKUP(Transactions!$B43,Properties[Property_ID],Properties[Property_Type])</f>
        <v>Residential</v>
      </c>
      <c r="J43" s="1" t="str">
        <f>_xlfn.XLOOKUP(Transactions!$B43,Properties[Property_ID],Properties[Landlord_Name])</f>
        <v>Landlord_26</v>
      </c>
    </row>
    <row r="44" spans="1:10" x14ac:dyDescent="0.3">
      <c r="A44" s="14" t="s">
        <v>441</v>
      </c>
      <c r="B44" s="2" t="s">
        <v>171</v>
      </c>
      <c r="C44" s="2" t="s">
        <v>313</v>
      </c>
      <c r="D44" s="15">
        <v>45229</v>
      </c>
      <c r="E44" s="2">
        <v>4743</v>
      </c>
      <c r="F44" s="2">
        <v>36</v>
      </c>
      <c r="G44" s="2" t="str">
        <f>_xlfn.XLOOKUP(Transactions!$C44,Clients[Client_ID],Clients[Client_Name])</f>
        <v>Client_60</v>
      </c>
      <c r="H44" s="2" t="str">
        <f>_xlfn.XLOOKUP(Transactions!$B44,Properties[Property_ID],Properties[City])</f>
        <v>Houston</v>
      </c>
      <c r="I44" s="2" t="str">
        <f>_xlfn.XLOOKUP(Transactions!$B44,Properties[Property_ID],Properties[Property_Type])</f>
        <v>Residential</v>
      </c>
      <c r="J44" s="1" t="str">
        <f>_xlfn.XLOOKUP(Transactions!$B44,Properties[Property_ID],Properties[Landlord_Name])</f>
        <v>Landlord_3</v>
      </c>
    </row>
    <row r="45" spans="1:10" x14ac:dyDescent="0.3">
      <c r="A45" s="12" t="s">
        <v>442</v>
      </c>
      <c r="B45" s="1" t="s">
        <v>119</v>
      </c>
      <c r="C45" s="1" t="s">
        <v>225</v>
      </c>
      <c r="D45" s="13">
        <v>44903</v>
      </c>
      <c r="E45" s="1">
        <v>1108</v>
      </c>
      <c r="F45" s="1">
        <v>24</v>
      </c>
      <c r="G45" s="1" t="str">
        <f>_xlfn.XLOOKUP(Transactions!$C45,Clients[Client_ID],Clients[Client_Name])</f>
        <v>Client_16</v>
      </c>
      <c r="H45" s="1" t="str">
        <f>_xlfn.XLOOKUP(Transactions!$B45,Properties[Property_ID],Properties[City])</f>
        <v>Chicago</v>
      </c>
      <c r="I45" s="1" t="str">
        <f>_xlfn.XLOOKUP(Transactions!$B45,Properties[Property_ID],Properties[Property_Type])</f>
        <v>Commercial</v>
      </c>
      <c r="J45" s="1" t="str">
        <f>_xlfn.XLOOKUP(Transactions!$B45,Properties[Property_ID],Properties[Landlord_Name])</f>
        <v>Landlord_18</v>
      </c>
    </row>
    <row r="46" spans="1:10" x14ac:dyDescent="0.3">
      <c r="A46" s="14" t="s">
        <v>443</v>
      </c>
      <c r="B46" s="2" t="s">
        <v>127</v>
      </c>
      <c r="C46" s="2" t="s">
        <v>233</v>
      </c>
      <c r="D46" s="15">
        <v>44658</v>
      </c>
      <c r="E46" s="2">
        <v>3533</v>
      </c>
      <c r="F46" s="2">
        <v>12</v>
      </c>
      <c r="G46" s="2" t="str">
        <f>_xlfn.XLOOKUP(Transactions!$C46,Clients[Client_ID],Clients[Client_Name])</f>
        <v>Client_20</v>
      </c>
      <c r="H46" s="2" t="str">
        <f>_xlfn.XLOOKUP(Transactions!$B46,Properties[Property_ID],Properties[City])</f>
        <v>San Francisco</v>
      </c>
      <c r="I46" s="2" t="str">
        <f>_xlfn.XLOOKUP(Transactions!$B46,Properties[Property_ID],Properties[Property_Type])</f>
        <v>Residential</v>
      </c>
      <c r="J46" s="1" t="str">
        <f>_xlfn.XLOOKUP(Transactions!$B46,Properties[Property_ID],Properties[Landlord_Name])</f>
        <v>Landlord_17</v>
      </c>
    </row>
    <row r="47" spans="1:10" x14ac:dyDescent="0.3">
      <c r="A47" s="12" t="s">
        <v>444</v>
      </c>
      <c r="B47" s="1" t="s">
        <v>99</v>
      </c>
      <c r="C47" s="1" t="s">
        <v>333</v>
      </c>
      <c r="D47" s="13">
        <v>45381</v>
      </c>
      <c r="E47" s="1">
        <v>2214</v>
      </c>
      <c r="F47" s="1">
        <v>36</v>
      </c>
      <c r="G47" s="1" t="str">
        <f>_xlfn.XLOOKUP(Transactions!$C47,Clients[Client_ID],Clients[Client_Name])</f>
        <v>Client_70</v>
      </c>
      <c r="H47" s="1" t="str">
        <f>_xlfn.XLOOKUP(Transactions!$B47,Properties[Property_ID],Properties[City])</f>
        <v>San Francisco</v>
      </c>
      <c r="I47" s="1" t="str">
        <f>_xlfn.XLOOKUP(Transactions!$B47,Properties[Property_ID],Properties[Property_Type])</f>
        <v>Commercial</v>
      </c>
      <c r="J47" s="1" t="str">
        <f>_xlfn.XLOOKUP(Transactions!$B47,Properties[Property_ID],Properties[Landlord_Name])</f>
        <v>Landlord_1</v>
      </c>
    </row>
    <row r="48" spans="1:10" x14ac:dyDescent="0.3">
      <c r="A48" s="14" t="s">
        <v>445</v>
      </c>
      <c r="B48" s="2" t="s">
        <v>90</v>
      </c>
      <c r="C48" s="2" t="s">
        <v>265</v>
      </c>
      <c r="D48" s="15">
        <v>45264</v>
      </c>
      <c r="E48" s="2">
        <v>1846</v>
      </c>
      <c r="F48" s="2">
        <v>18</v>
      </c>
      <c r="G48" s="2" t="str">
        <f>_xlfn.XLOOKUP(Transactions!$C48,Clients[Client_ID],Clients[Client_Name])</f>
        <v>Client_36</v>
      </c>
      <c r="H48" s="2" t="str">
        <f>_xlfn.XLOOKUP(Transactions!$B48,Properties[Property_ID],Properties[City])</f>
        <v>New York</v>
      </c>
      <c r="I48" s="2" t="str">
        <f>_xlfn.XLOOKUP(Transactions!$B48,Properties[Property_ID],Properties[Property_Type])</f>
        <v>Commercial</v>
      </c>
      <c r="J48" s="1" t="str">
        <f>_xlfn.XLOOKUP(Transactions!$B48,Properties[Property_ID],Properties[Landlord_Name])</f>
        <v>Landlord_10</v>
      </c>
    </row>
    <row r="49" spans="1:10" x14ac:dyDescent="0.3">
      <c r="A49" s="12" t="s">
        <v>446</v>
      </c>
      <c r="B49" s="1" t="s">
        <v>160</v>
      </c>
      <c r="C49" s="1" t="s">
        <v>281</v>
      </c>
      <c r="D49" s="13">
        <v>44833</v>
      </c>
      <c r="E49" s="1">
        <v>2664</v>
      </c>
      <c r="F49" s="1">
        <v>36</v>
      </c>
      <c r="G49" s="1" t="str">
        <f>_xlfn.XLOOKUP(Transactions!$C49,Clients[Client_ID],Clients[Client_Name])</f>
        <v>Client_44</v>
      </c>
      <c r="H49" s="1" t="str">
        <f>_xlfn.XLOOKUP(Transactions!$B49,Properties[Property_ID],Properties[City])</f>
        <v>Los Angeles</v>
      </c>
      <c r="I49" s="1" t="str">
        <f>_xlfn.XLOOKUP(Transactions!$B49,Properties[Property_ID],Properties[Property_Type])</f>
        <v>Residential</v>
      </c>
      <c r="J49" s="1" t="str">
        <f>_xlfn.XLOOKUP(Transactions!$B49,Properties[Property_ID],Properties[Landlord_Name])</f>
        <v>Landlord_9</v>
      </c>
    </row>
    <row r="50" spans="1:10" x14ac:dyDescent="0.3">
      <c r="A50" s="14" t="s">
        <v>447</v>
      </c>
      <c r="B50" s="2" t="s">
        <v>177</v>
      </c>
      <c r="C50" s="2" t="s">
        <v>307</v>
      </c>
      <c r="D50" s="15">
        <v>44835</v>
      </c>
      <c r="E50" s="2">
        <v>4372</v>
      </c>
      <c r="F50" s="2">
        <v>18</v>
      </c>
      <c r="G50" s="2" t="str">
        <f>_xlfn.XLOOKUP(Transactions!$C50,Clients[Client_ID],Clients[Client_Name])</f>
        <v>Client_57</v>
      </c>
      <c r="H50" s="2" t="str">
        <f>_xlfn.XLOOKUP(Transactions!$B50,Properties[Property_ID],Properties[City])</f>
        <v>Houston</v>
      </c>
      <c r="I50" s="2" t="str">
        <f>_xlfn.XLOOKUP(Transactions!$B50,Properties[Property_ID],Properties[Property_Type])</f>
        <v>Residential</v>
      </c>
      <c r="J50" s="1" t="str">
        <f>_xlfn.XLOOKUP(Transactions!$B50,Properties[Property_ID],Properties[Landlord_Name])</f>
        <v>Landlord_3</v>
      </c>
    </row>
    <row r="51" spans="1:10" x14ac:dyDescent="0.3">
      <c r="A51" s="12" t="s">
        <v>448</v>
      </c>
      <c r="B51" s="1" t="s">
        <v>176</v>
      </c>
      <c r="C51" s="1" t="s">
        <v>339</v>
      </c>
      <c r="D51" s="13">
        <v>44571</v>
      </c>
      <c r="E51" s="1">
        <v>4827</v>
      </c>
      <c r="F51" s="1">
        <v>24</v>
      </c>
      <c r="G51" s="1" t="str">
        <f>_xlfn.XLOOKUP(Transactions!$C51,Clients[Client_ID],Clients[Client_Name])</f>
        <v>Client_73</v>
      </c>
      <c r="H51" s="1" t="str">
        <f>_xlfn.XLOOKUP(Transactions!$B51,Properties[Property_ID],Properties[City])</f>
        <v>San Francisco</v>
      </c>
      <c r="I51" s="1" t="str">
        <f>_xlfn.XLOOKUP(Transactions!$B51,Properties[Property_ID],Properties[Property_Type])</f>
        <v>Residential</v>
      </c>
      <c r="J51" s="1" t="str">
        <f>_xlfn.XLOOKUP(Transactions!$B51,Properties[Property_ID],Properties[Landlord_Name])</f>
        <v>Landlord_1</v>
      </c>
    </row>
    <row r="52" spans="1:10" x14ac:dyDescent="0.3">
      <c r="A52" s="14" t="s">
        <v>449</v>
      </c>
      <c r="B52" s="2" t="s">
        <v>136</v>
      </c>
      <c r="C52" s="2" t="s">
        <v>201</v>
      </c>
      <c r="D52" s="15">
        <v>44641</v>
      </c>
      <c r="E52" s="2">
        <v>1040</v>
      </c>
      <c r="F52" s="2">
        <v>6</v>
      </c>
      <c r="G52" s="2" t="str">
        <f>_xlfn.XLOOKUP(Transactions!$C52,Clients[Client_ID],Clients[Client_Name])</f>
        <v>Client_4</v>
      </c>
      <c r="H52" s="2" t="str">
        <f>_xlfn.XLOOKUP(Transactions!$B52,Properties[Property_ID],Properties[City])</f>
        <v>Houston</v>
      </c>
      <c r="I52" s="2" t="str">
        <f>_xlfn.XLOOKUP(Transactions!$B52,Properties[Property_ID],Properties[Property_Type])</f>
        <v>Commercial</v>
      </c>
      <c r="J52" s="1" t="str">
        <f>_xlfn.XLOOKUP(Transactions!$B52,Properties[Property_ID],Properties[Landlord_Name])</f>
        <v>Landlord_26</v>
      </c>
    </row>
    <row r="53" spans="1:10" x14ac:dyDescent="0.3">
      <c r="A53" s="12" t="s">
        <v>450</v>
      </c>
      <c r="B53" s="1" t="s">
        <v>108</v>
      </c>
      <c r="C53" s="1" t="s">
        <v>299</v>
      </c>
      <c r="D53" s="13">
        <v>44725</v>
      </c>
      <c r="E53" s="1">
        <v>2074</v>
      </c>
      <c r="F53" s="1">
        <v>18</v>
      </c>
      <c r="G53" s="1" t="str">
        <f>_xlfn.XLOOKUP(Transactions!$C53,Clients[Client_ID],Clients[Client_Name])</f>
        <v>Client_53</v>
      </c>
      <c r="H53" s="1" t="str">
        <f>_xlfn.XLOOKUP(Transactions!$B53,Properties[Property_ID],Properties[City])</f>
        <v>Phoenix</v>
      </c>
      <c r="I53" s="1" t="str">
        <f>_xlfn.XLOOKUP(Transactions!$B53,Properties[Property_ID],Properties[Property_Type])</f>
        <v>Commercial</v>
      </c>
      <c r="J53" s="1" t="str">
        <f>_xlfn.XLOOKUP(Transactions!$B53,Properties[Property_ID],Properties[Landlord_Name])</f>
        <v>Landlord_5</v>
      </c>
    </row>
    <row r="54" spans="1:10" x14ac:dyDescent="0.3">
      <c r="A54" s="14" t="s">
        <v>451</v>
      </c>
      <c r="B54" s="2" t="s">
        <v>164</v>
      </c>
      <c r="C54" s="2" t="s">
        <v>233</v>
      </c>
      <c r="D54" s="15">
        <v>44577</v>
      </c>
      <c r="E54" s="2">
        <v>4660</v>
      </c>
      <c r="F54" s="2">
        <v>12</v>
      </c>
      <c r="G54" s="2" t="str">
        <f>_xlfn.XLOOKUP(Transactions!$C54,Clients[Client_ID],Clients[Client_Name])</f>
        <v>Client_20</v>
      </c>
      <c r="H54" s="2" t="str">
        <f>_xlfn.XLOOKUP(Transactions!$B54,Properties[Property_ID],Properties[City])</f>
        <v>San Francisco</v>
      </c>
      <c r="I54" s="2" t="str">
        <f>_xlfn.XLOOKUP(Transactions!$B54,Properties[Property_ID],Properties[Property_Type])</f>
        <v>Commercial</v>
      </c>
      <c r="J54" s="1" t="str">
        <f>_xlfn.XLOOKUP(Transactions!$B54,Properties[Property_ID],Properties[Landlord_Name])</f>
        <v>Landlord_29</v>
      </c>
    </row>
    <row r="55" spans="1:10" x14ac:dyDescent="0.3">
      <c r="A55" s="12" t="s">
        <v>452</v>
      </c>
      <c r="B55" s="1" t="s">
        <v>154</v>
      </c>
      <c r="C55" s="1" t="s">
        <v>389</v>
      </c>
      <c r="D55" s="13">
        <v>45284</v>
      </c>
      <c r="E55" s="1">
        <v>1051</v>
      </c>
      <c r="F55" s="1">
        <v>36</v>
      </c>
      <c r="G55" s="1" t="str">
        <f>_xlfn.XLOOKUP(Transactions!$C55,Clients[Client_ID],Clients[Client_Name])</f>
        <v>Client_98</v>
      </c>
      <c r="H55" s="1" t="str">
        <f>_xlfn.XLOOKUP(Transactions!$B55,Properties[Property_ID],Properties[City])</f>
        <v>Houston</v>
      </c>
      <c r="I55" s="1" t="str">
        <f>_xlfn.XLOOKUP(Transactions!$B55,Properties[Property_ID],Properties[Property_Type])</f>
        <v>Commercial</v>
      </c>
      <c r="J55" s="1" t="str">
        <f>_xlfn.XLOOKUP(Transactions!$B55,Properties[Property_ID],Properties[Landlord_Name])</f>
        <v>Landlord_3</v>
      </c>
    </row>
    <row r="56" spans="1:10" x14ac:dyDescent="0.3">
      <c r="A56" s="14" t="s">
        <v>453</v>
      </c>
      <c r="B56" s="2" t="s">
        <v>154</v>
      </c>
      <c r="C56" s="2" t="s">
        <v>257</v>
      </c>
      <c r="D56" s="15">
        <v>45224</v>
      </c>
      <c r="E56" s="2">
        <v>3402</v>
      </c>
      <c r="F56" s="2">
        <v>12</v>
      </c>
      <c r="G56" s="2" t="str">
        <f>_xlfn.XLOOKUP(Transactions!$C56,Clients[Client_ID],Clients[Client_Name])</f>
        <v>Client_32</v>
      </c>
      <c r="H56" s="2" t="str">
        <f>_xlfn.XLOOKUP(Transactions!$B56,Properties[Property_ID],Properties[City])</f>
        <v>Houston</v>
      </c>
      <c r="I56" s="2" t="str">
        <f>_xlfn.XLOOKUP(Transactions!$B56,Properties[Property_ID],Properties[Property_Type])</f>
        <v>Commercial</v>
      </c>
      <c r="J56" s="1" t="str">
        <f>_xlfn.XLOOKUP(Transactions!$B56,Properties[Property_ID],Properties[Landlord_Name])</f>
        <v>Landlord_3</v>
      </c>
    </row>
    <row r="57" spans="1:10" x14ac:dyDescent="0.3">
      <c r="A57" s="12" t="s">
        <v>454</v>
      </c>
      <c r="B57" s="1" t="s">
        <v>130</v>
      </c>
      <c r="C57" s="1" t="s">
        <v>303</v>
      </c>
      <c r="D57" s="13">
        <v>44632</v>
      </c>
      <c r="E57" s="1">
        <v>4147</v>
      </c>
      <c r="F57" s="1">
        <v>6</v>
      </c>
      <c r="G57" s="1" t="str">
        <f>_xlfn.XLOOKUP(Transactions!$C57,Clients[Client_ID],Clients[Client_Name])</f>
        <v>Client_55</v>
      </c>
      <c r="H57" s="1" t="str">
        <f>_xlfn.XLOOKUP(Transactions!$B57,Properties[Property_ID],Properties[City])</f>
        <v>San Francisco</v>
      </c>
      <c r="I57" s="1" t="str">
        <f>_xlfn.XLOOKUP(Transactions!$B57,Properties[Property_ID],Properties[Property_Type])</f>
        <v>Commercial</v>
      </c>
      <c r="J57" s="1" t="str">
        <f>_xlfn.XLOOKUP(Transactions!$B57,Properties[Property_ID],Properties[Landlord_Name])</f>
        <v>Landlord_17</v>
      </c>
    </row>
    <row r="58" spans="1:10" x14ac:dyDescent="0.3">
      <c r="A58" s="14" t="s">
        <v>455</v>
      </c>
      <c r="B58" s="2" t="s">
        <v>106</v>
      </c>
      <c r="C58" s="2" t="s">
        <v>357</v>
      </c>
      <c r="D58" s="15">
        <v>44709</v>
      </c>
      <c r="E58" s="2">
        <v>4157</v>
      </c>
      <c r="F58" s="2">
        <v>6</v>
      </c>
      <c r="G58" s="2" t="str">
        <f>_xlfn.XLOOKUP(Transactions!$C58,Clients[Client_ID],Clients[Client_Name])</f>
        <v>Client_82</v>
      </c>
      <c r="H58" s="2" t="str">
        <f>_xlfn.XLOOKUP(Transactions!$B58,Properties[Property_ID],Properties[City])</f>
        <v>Houston</v>
      </c>
      <c r="I58" s="2" t="str">
        <f>_xlfn.XLOOKUP(Transactions!$B58,Properties[Property_ID],Properties[Property_Type])</f>
        <v>Residential</v>
      </c>
      <c r="J58" s="1" t="str">
        <f>_xlfn.XLOOKUP(Transactions!$B58,Properties[Property_ID],Properties[Landlord_Name])</f>
        <v>Landlord_15</v>
      </c>
    </row>
    <row r="59" spans="1:10" x14ac:dyDescent="0.3">
      <c r="A59" s="12" t="s">
        <v>456</v>
      </c>
      <c r="B59" s="1" t="s">
        <v>171</v>
      </c>
      <c r="C59" s="1" t="s">
        <v>315</v>
      </c>
      <c r="D59" s="13">
        <v>44742</v>
      </c>
      <c r="E59" s="1">
        <v>2925</v>
      </c>
      <c r="F59" s="1">
        <v>24</v>
      </c>
      <c r="G59" s="1" t="str">
        <f>_xlfn.XLOOKUP(Transactions!$C59,Clients[Client_ID],Clients[Client_Name])</f>
        <v>Client_61</v>
      </c>
      <c r="H59" s="1" t="str">
        <f>_xlfn.XLOOKUP(Transactions!$B59,Properties[Property_ID],Properties[City])</f>
        <v>Houston</v>
      </c>
      <c r="I59" s="1" t="str">
        <f>_xlfn.XLOOKUP(Transactions!$B59,Properties[Property_ID],Properties[Property_Type])</f>
        <v>Residential</v>
      </c>
      <c r="J59" s="1" t="str">
        <f>_xlfn.XLOOKUP(Transactions!$B59,Properties[Property_ID],Properties[Landlord_Name])</f>
        <v>Landlord_3</v>
      </c>
    </row>
    <row r="60" spans="1:10" x14ac:dyDescent="0.3">
      <c r="A60" s="14" t="s">
        <v>457</v>
      </c>
      <c r="B60" s="2" t="s">
        <v>109</v>
      </c>
      <c r="C60" s="2" t="s">
        <v>317</v>
      </c>
      <c r="D60" s="15">
        <v>44817</v>
      </c>
      <c r="E60" s="2">
        <v>7747</v>
      </c>
      <c r="F60" s="2">
        <v>18</v>
      </c>
      <c r="G60" s="2" t="str">
        <f>_xlfn.XLOOKUP(Transactions!$C60,Clients[Client_ID],Clients[Client_Name])</f>
        <v>Client_62</v>
      </c>
      <c r="H60" s="2" t="str">
        <f>_xlfn.XLOOKUP(Transactions!$B60,Properties[Property_ID],Properties[City])</f>
        <v>Chicago</v>
      </c>
      <c r="I60" s="2" t="str">
        <f>_xlfn.XLOOKUP(Transactions!$B60,Properties[Property_ID],Properties[Property_Type])</f>
        <v>Residential</v>
      </c>
      <c r="J60" s="1" t="str">
        <f>_xlfn.XLOOKUP(Transactions!$B60,Properties[Property_ID],Properties[Landlord_Name])</f>
        <v>Landlord_19</v>
      </c>
    </row>
    <row r="61" spans="1:10" x14ac:dyDescent="0.3">
      <c r="A61" s="12" t="s">
        <v>458</v>
      </c>
      <c r="B61" s="1" t="s">
        <v>179</v>
      </c>
      <c r="C61" s="1" t="s">
        <v>331</v>
      </c>
      <c r="D61" s="13">
        <v>44722</v>
      </c>
      <c r="E61" s="1">
        <v>7496</v>
      </c>
      <c r="F61" s="1">
        <v>24</v>
      </c>
      <c r="G61" s="1" t="str">
        <f>_xlfn.XLOOKUP(Transactions!$C61,Clients[Client_ID],Clients[Client_Name])</f>
        <v>Client_69</v>
      </c>
      <c r="H61" s="1" t="str">
        <f>_xlfn.XLOOKUP(Transactions!$B61,Properties[Property_ID],Properties[City])</f>
        <v>Chicago</v>
      </c>
      <c r="I61" s="1" t="str">
        <f>_xlfn.XLOOKUP(Transactions!$B61,Properties[Property_ID],Properties[Property_Type])</f>
        <v>Residential</v>
      </c>
      <c r="J61" s="1" t="str">
        <f>_xlfn.XLOOKUP(Transactions!$B61,Properties[Property_ID],Properties[Landlord_Name])</f>
        <v>Landlord_19</v>
      </c>
    </row>
    <row r="62" spans="1:10" x14ac:dyDescent="0.3">
      <c r="A62" s="14" t="s">
        <v>459</v>
      </c>
      <c r="B62" s="2" t="s">
        <v>100</v>
      </c>
      <c r="C62" s="2" t="s">
        <v>271</v>
      </c>
      <c r="D62" s="15">
        <v>44706</v>
      </c>
      <c r="E62" s="2">
        <v>7050</v>
      </c>
      <c r="F62" s="2">
        <v>24</v>
      </c>
      <c r="G62" s="2" t="str">
        <f>_xlfn.XLOOKUP(Transactions!$C62,Clients[Client_ID],Clients[Client_Name])</f>
        <v>Client_39</v>
      </c>
      <c r="H62" s="2" t="str">
        <f>_xlfn.XLOOKUP(Transactions!$B62,Properties[Property_ID],Properties[City])</f>
        <v>Chicago</v>
      </c>
      <c r="I62" s="2" t="str">
        <f>_xlfn.XLOOKUP(Transactions!$B62,Properties[Property_ID],Properties[Property_Type])</f>
        <v>Commercial</v>
      </c>
      <c r="J62" s="1" t="str">
        <f>_xlfn.XLOOKUP(Transactions!$B62,Properties[Property_ID],Properties[Landlord_Name])</f>
        <v>Landlord_19</v>
      </c>
    </row>
    <row r="63" spans="1:10" x14ac:dyDescent="0.3">
      <c r="A63" s="12" t="s">
        <v>460</v>
      </c>
      <c r="B63" s="1" t="s">
        <v>109</v>
      </c>
      <c r="C63" s="1" t="s">
        <v>331</v>
      </c>
      <c r="D63" s="13">
        <v>45340</v>
      </c>
      <c r="E63" s="1">
        <v>993</v>
      </c>
      <c r="F63" s="1">
        <v>36</v>
      </c>
      <c r="G63" s="1" t="str">
        <f>_xlfn.XLOOKUP(Transactions!$C63,Clients[Client_ID],Clients[Client_Name])</f>
        <v>Client_69</v>
      </c>
      <c r="H63" s="1" t="str">
        <f>_xlfn.XLOOKUP(Transactions!$B63,Properties[Property_ID],Properties[City])</f>
        <v>Chicago</v>
      </c>
      <c r="I63" s="1" t="str">
        <f>_xlfn.XLOOKUP(Transactions!$B63,Properties[Property_ID],Properties[Property_Type])</f>
        <v>Residential</v>
      </c>
      <c r="J63" s="1" t="str">
        <f>_xlfn.XLOOKUP(Transactions!$B63,Properties[Property_ID],Properties[Landlord_Name])</f>
        <v>Landlord_19</v>
      </c>
    </row>
    <row r="64" spans="1:10" x14ac:dyDescent="0.3">
      <c r="A64" s="14" t="s">
        <v>461</v>
      </c>
      <c r="B64" s="2" t="s">
        <v>168</v>
      </c>
      <c r="C64" s="2" t="s">
        <v>383</v>
      </c>
      <c r="D64" s="15">
        <v>44828</v>
      </c>
      <c r="E64" s="2">
        <v>6322</v>
      </c>
      <c r="F64" s="2">
        <v>6</v>
      </c>
      <c r="G64" s="2" t="str">
        <f>_xlfn.XLOOKUP(Transactions!$C64,Clients[Client_ID],Clients[Client_Name])</f>
        <v>Client_95</v>
      </c>
      <c r="H64" s="2" t="str">
        <f>_xlfn.XLOOKUP(Transactions!$B64,Properties[Property_ID],Properties[City])</f>
        <v>New York</v>
      </c>
      <c r="I64" s="2" t="str">
        <f>_xlfn.XLOOKUP(Transactions!$B64,Properties[Property_ID],Properties[Property_Type])</f>
        <v>Commercial</v>
      </c>
      <c r="J64" s="1" t="str">
        <f>_xlfn.XLOOKUP(Transactions!$B64,Properties[Property_ID],Properties[Landlord_Name])</f>
        <v>Landlord_14</v>
      </c>
    </row>
    <row r="65" spans="1:10" x14ac:dyDescent="0.3">
      <c r="A65" s="12" t="s">
        <v>462</v>
      </c>
      <c r="B65" s="1" t="s">
        <v>140</v>
      </c>
      <c r="C65" s="1" t="s">
        <v>387</v>
      </c>
      <c r="D65" s="13">
        <v>44936</v>
      </c>
      <c r="E65" s="1">
        <v>3046</v>
      </c>
      <c r="F65" s="1">
        <v>24</v>
      </c>
      <c r="G65" s="1" t="str">
        <f>_xlfn.XLOOKUP(Transactions!$C65,Clients[Client_ID],Clients[Client_Name])</f>
        <v>Client_97</v>
      </c>
      <c r="H65" s="1" t="str">
        <f>_xlfn.XLOOKUP(Transactions!$B65,Properties[Property_ID],Properties[City])</f>
        <v>Los Angeles</v>
      </c>
      <c r="I65" s="1" t="str">
        <f>_xlfn.XLOOKUP(Transactions!$B65,Properties[Property_ID],Properties[Property_Type])</f>
        <v>Residential</v>
      </c>
      <c r="J65" s="1" t="str">
        <f>_xlfn.XLOOKUP(Transactions!$B65,Properties[Property_ID],Properties[Landlord_Name])</f>
        <v>Landlord_9</v>
      </c>
    </row>
    <row r="66" spans="1:10" x14ac:dyDescent="0.3">
      <c r="A66" s="14" t="s">
        <v>463</v>
      </c>
      <c r="B66" s="2" t="s">
        <v>152</v>
      </c>
      <c r="C66" s="2" t="s">
        <v>231</v>
      </c>
      <c r="D66" s="15">
        <v>44894</v>
      </c>
      <c r="E66" s="2">
        <v>2784</v>
      </c>
      <c r="F66" s="2">
        <v>6</v>
      </c>
      <c r="G66" s="2" t="str">
        <f>_xlfn.XLOOKUP(Transactions!$C66,Clients[Client_ID],Clients[Client_Name])</f>
        <v>Client_19</v>
      </c>
      <c r="H66" s="2" t="str">
        <f>_xlfn.XLOOKUP(Transactions!$B66,Properties[Property_ID],Properties[City])</f>
        <v>Houston</v>
      </c>
      <c r="I66" s="2" t="str">
        <f>_xlfn.XLOOKUP(Transactions!$B66,Properties[Property_ID],Properties[Property_Type])</f>
        <v>Commercial</v>
      </c>
      <c r="J66" s="1" t="str">
        <f>_xlfn.XLOOKUP(Transactions!$B66,Properties[Property_ID],Properties[Landlord_Name])</f>
        <v>Landlord_26</v>
      </c>
    </row>
    <row r="67" spans="1:10" x14ac:dyDescent="0.3">
      <c r="A67" s="12" t="s">
        <v>464</v>
      </c>
      <c r="B67" s="1" t="s">
        <v>100</v>
      </c>
      <c r="C67" s="1" t="s">
        <v>255</v>
      </c>
      <c r="D67" s="13">
        <v>45191</v>
      </c>
      <c r="E67" s="1">
        <v>6141</v>
      </c>
      <c r="F67" s="1">
        <v>36</v>
      </c>
      <c r="G67" s="1" t="str">
        <f>_xlfn.XLOOKUP(Transactions!$C67,Clients[Client_ID],Clients[Client_Name])</f>
        <v>Client_31</v>
      </c>
      <c r="H67" s="1" t="str">
        <f>_xlfn.XLOOKUP(Transactions!$B67,Properties[Property_ID],Properties[City])</f>
        <v>Chicago</v>
      </c>
      <c r="I67" s="1" t="str">
        <f>_xlfn.XLOOKUP(Transactions!$B67,Properties[Property_ID],Properties[Property_Type])</f>
        <v>Commercial</v>
      </c>
      <c r="J67" s="1" t="str">
        <f>_xlfn.XLOOKUP(Transactions!$B67,Properties[Property_ID],Properties[Landlord_Name])</f>
        <v>Landlord_19</v>
      </c>
    </row>
    <row r="68" spans="1:10" x14ac:dyDescent="0.3">
      <c r="A68" s="14" t="s">
        <v>465</v>
      </c>
      <c r="B68" s="2" t="s">
        <v>148</v>
      </c>
      <c r="C68" s="2" t="s">
        <v>245</v>
      </c>
      <c r="D68" s="15">
        <v>44878</v>
      </c>
      <c r="E68" s="2">
        <v>7915</v>
      </c>
      <c r="F68" s="2">
        <v>12</v>
      </c>
      <c r="G68" s="2" t="str">
        <f>_xlfn.XLOOKUP(Transactions!$C68,Clients[Client_ID],Clients[Client_Name])</f>
        <v>Client_26</v>
      </c>
      <c r="H68" s="2" t="str">
        <f>_xlfn.XLOOKUP(Transactions!$B68,Properties[Property_ID],Properties[City])</f>
        <v>Houston</v>
      </c>
      <c r="I68" s="2" t="str">
        <f>_xlfn.XLOOKUP(Transactions!$B68,Properties[Property_ID],Properties[Property_Type])</f>
        <v>Residential</v>
      </c>
      <c r="J68" s="1" t="str">
        <f>_xlfn.XLOOKUP(Transactions!$B68,Properties[Property_ID],Properties[Landlord_Name])</f>
        <v>Landlord_20</v>
      </c>
    </row>
    <row r="69" spans="1:10" x14ac:dyDescent="0.3">
      <c r="A69" s="12" t="s">
        <v>466</v>
      </c>
      <c r="B69" s="1" t="s">
        <v>153</v>
      </c>
      <c r="C69" s="1" t="s">
        <v>209</v>
      </c>
      <c r="D69" s="13">
        <v>44624</v>
      </c>
      <c r="E69" s="1">
        <v>4706</v>
      </c>
      <c r="F69" s="1">
        <v>6</v>
      </c>
      <c r="G69" s="1" t="str">
        <f>_xlfn.XLOOKUP(Transactions!$C69,Clients[Client_ID],Clients[Client_Name])</f>
        <v>Client_8</v>
      </c>
      <c r="H69" s="1" t="str">
        <f>_xlfn.XLOOKUP(Transactions!$B69,Properties[Property_ID],Properties[City])</f>
        <v>San Francisco</v>
      </c>
      <c r="I69" s="1" t="str">
        <f>_xlfn.XLOOKUP(Transactions!$B69,Properties[Property_ID],Properties[Property_Type])</f>
        <v>Residential</v>
      </c>
      <c r="J69" s="1" t="str">
        <f>_xlfn.XLOOKUP(Transactions!$B69,Properties[Property_ID],Properties[Landlord_Name])</f>
        <v>Landlord_29</v>
      </c>
    </row>
    <row r="70" spans="1:10" x14ac:dyDescent="0.3">
      <c r="A70" s="14" t="s">
        <v>467</v>
      </c>
      <c r="B70" s="2" t="s">
        <v>175</v>
      </c>
      <c r="C70" s="2" t="s">
        <v>353</v>
      </c>
      <c r="D70" s="15">
        <v>45441</v>
      </c>
      <c r="E70" s="2">
        <v>4858</v>
      </c>
      <c r="F70" s="2">
        <v>36</v>
      </c>
      <c r="G70" s="2" t="str">
        <f>_xlfn.XLOOKUP(Transactions!$C70,Clients[Client_ID],Clients[Client_Name])</f>
        <v>Client_80</v>
      </c>
      <c r="H70" s="2" t="str">
        <f>_xlfn.XLOOKUP(Transactions!$B70,Properties[Property_ID],Properties[City])</f>
        <v>Houston</v>
      </c>
      <c r="I70" s="2" t="str">
        <f>_xlfn.XLOOKUP(Transactions!$B70,Properties[Property_ID],Properties[Property_Type])</f>
        <v>Commercial</v>
      </c>
      <c r="J70" s="1" t="str">
        <f>_xlfn.XLOOKUP(Transactions!$B70,Properties[Property_ID],Properties[Landlord_Name])</f>
        <v>Landlord_26</v>
      </c>
    </row>
    <row r="71" spans="1:10" x14ac:dyDescent="0.3">
      <c r="A71" s="12" t="s">
        <v>468</v>
      </c>
      <c r="B71" s="1" t="s">
        <v>122</v>
      </c>
      <c r="C71" s="1" t="s">
        <v>381</v>
      </c>
      <c r="D71" s="13">
        <v>45267</v>
      </c>
      <c r="E71" s="1">
        <v>6557</v>
      </c>
      <c r="F71" s="1">
        <v>24</v>
      </c>
      <c r="G71" s="1" t="str">
        <f>_xlfn.XLOOKUP(Transactions!$C71,Clients[Client_ID],Clients[Client_Name])</f>
        <v>Client_94</v>
      </c>
      <c r="H71" s="1" t="str">
        <f>_xlfn.XLOOKUP(Transactions!$B71,Properties[Property_ID],Properties[City])</f>
        <v>Phoenix</v>
      </c>
      <c r="I71" s="1" t="str">
        <f>_xlfn.XLOOKUP(Transactions!$B71,Properties[Property_ID],Properties[Property_Type])</f>
        <v>Residential</v>
      </c>
      <c r="J71" s="1" t="str">
        <f>_xlfn.XLOOKUP(Transactions!$B71,Properties[Property_ID],Properties[Landlord_Name])</f>
        <v>Landlord_12</v>
      </c>
    </row>
    <row r="72" spans="1:10" x14ac:dyDescent="0.3">
      <c r="A72" s="14" t="s">
        <v>469</v>
      </c>
      <c r="B72" s="2" t="s">
        <v>164</v>
      </c>
      <c r="C72" s="2" t="s">
        <v>225</v>
      </c>
      <c r="D72" s="15">
        <v>44901</v>
      </c>
      <c r="E72" s="2">
        <v>2528</v>
      </c>
      <c r="F72" s="2">
        <v>24</v>
      </c>
      <c r="G72" s="2" t="str">
        <f>_xlfn.XLOOKUP(Transactions!$C72,Clients[Client_ID],Clients[Client_Name])</f>
        <v>Client_16</v>
      </c>
      <c r="H72" s="2" t="str">
        <f>_xlfn.XLOOKUP(Transactions!$B72,Properties[Property_ID],Properties[City])</f>
        <v>San Francisco</v>
      </c>
      <c r="I72" s="2" t="str">
        <f>_xlfn.XLOOKUP(Transactions!$B72,Properties[Property_ID],Properties[Property_Type])</f>
        <v>Commercial</v>
      </c>
      <c r="J72" s="1" t="str">
        <f>_xlfn.XLOOKUP(Transactions!$B72,Properties[Property_ID],Properties[Landlord_Name])</f>
        <v>Landlord_29</v>
      </c>
    </row>
    <row r="73" spans="1:10" x14ac:dyDescent="0.3">
      <c r="A73" s="12" t="s">
        <v>470</v>
      </c>
      <c r="B73" s="1" t="s">
        <v>132</v>
      </c>
      <c r="C73" s="1" t="s">
        <v>289</v>
      </c>
      <c r="D73" s="13">
        <v>45424</v>
      </c>
      <c r="E73" s="1">
        <v>3695</v>
      </c>
      <c r="F73" s="1">
        <v>24</v>
      </c>
      <c r="G73" s="1" t="str">
        <f>_xlfn.XLOOKUP(Transactions!$C73,Clients[Client_ID],Clients[Client_Name])</f>
        <v>Client_48</v>
      </c>
      <c r="H73" s="1" t="str">
        <f>_xlfn.XLOOKUP(Transactions!$B73,Properties[Property_ID],Properties[City])</f>
        <v>New York</v>
      </c>
      <c r="I73" s="1" t="str">
        <f>_xlfn.XLOOKUP(Transactions!$B73,Properties[Property_ID],Properties[Property_Type])</f>
        <v>Commercial</v>
      </c>
      <c r="J73" s="1" t="str">
        <f>_xlfn.XLOOKUP(Transactions!$B73,Properties[Property_ID],Properties[Landlord_Name])</f>
        <v>Landlord_14</v>
      </c>
    </row>
    <row r="74" spans="1:10" x14ac:dyDescent="0.3">
      <c r="A74" s="14" t="s">
        <v>471</v>
      </c>
      <c r="B74" s="2" t="s">
        <v>116</v>
      </c>
      <c r="C74" s="2" t="s">
        <v>331</v>
      </c>
      <c r="D74" s="15">
        <v>45021</v>
      </c>
      <c r="E74" s="2">
        <v>4609</v>
      </c>
      <c r="F74" s="2">
        <v>36</v>
      </c>
      <c r="G74" s="2" t="str">
        <f>_xlfn.XLOOKUP(Transactions!$C74,Clients[Client_ID],Clients[Client_Name])</f>
        <v>Client_69</v>
      </c>
      <c r="H74" s="2" t="str">
        <f>_xlfn.XLOOKUP(Transactions!$B74,Properties[Property_ID],Properties[City])</f>
        <v>Phoenix</v>
      </c>
      <c r="I74" s="2" t="str">
        <f>_xlfn.XLOOKUP(Transactions!$B74,Properties[Property_ID],Properties[Property_Type])</f>
        <v>Residential</v>
      </c>
      <c r="J74" s="1" t="str">
        <f>_xlfn.XLOOKUP(Transactions!$B74,Properties[Property_ID],Properties[Landlord_Name])</f>
        <v>Landlord_12</v>
      </c>
    </row>
    <row r="75" spans="1:10" x14ac:dyDescent="0.3">
      <c r="A75" s="12" t="s">
        <v>472</v>
      </c>
      <c r="B75" s="1" t="s">
        <v>114</v>
      </c>
      <c r="C75" s="1" t="s">
        <v>317</v>
      </c>
      <c r="D75" s="13">
        <v>44880</v>
      </c>
      <c r="E75" s="1">
        <v>4261</v>
      </c>
      <c r="F75" s="1">
        <v>36</v>
      </c>
      <c r="G75" s="1" t="str">
        <f>_xlfn.XLOOKUP(Transactions!$C75,Clients[Client_ID],Clients[Client_Name])</f>
        <v>Client_62</v>
      </c>
      <c r="H75" s="1" t="str">
        <f>_xlfn.XLOOKUP(Transactions!$B75,Properties[Property_ID],Properties[City])</f>
        <v>San Francisco</v>
      </c>
      <c r="I75" s="1" t="str">
        <f>_xlfn.XLOOKUP(Transactions!$B75,Properties[Property_ID],Properties[Property_Type])</f>
        <v>Residential</v>
      </c>
      <c r="J75" s="1" t="str">
        <f>_xlfn.XLOOKUP(Transactions!$B75,Properties[Property_ID],Properties[Landlord_Name])</f>
        <v>Landlord_29</v>
      </c>
    </row>
    <row r="76" spans="1:10" x14ac:dyDescent="0.3">
      <c r="A76" s="14" t="s">
        <v>473</v>
      </c>
      <c r="B76" s="2" t="s">
        <v>180</v>
      </c>
      <c r="C76" s="2" t="s">
        <v>229</v>
      </c>
      <c r="D76" s="15">
        <v>45297</v>
      </c>
      <c r="E76" s="2">
        <v>3775</v>
      </c>
      <c r="F76" s="2">
        <v>36</v>
      </c>
      <c r="G76" s="2" t="str">
        <f>_xlfn.XLOOKUP(Transactions!$C76,Clients[Client_ID],Clients[Client_Name])</f>
        <v>Client_18</v>
      </c>
      <c r="H76" s="2" t="str">
        <f>_xlfn.XLOOKUP(Transactions!$B76,Properties[Property_ID],Properties[City])</f>
        <v>New York</v>
      </c>
      <c r="I76" s="2" t="str">
        <f>_xlfn.XLOOKUP(Transactions!$B76,Properties[Property_ID],Properties[Property_Type])</f>
        <v>Commercial</v>
      </c>
      <c r="J76" s="1" t="str">
        <f>_xlfn.XLOOKUP(Transactions!$B76,Properties[Property_ID],Properties[Landlord_Name])</f>
        <v>Landlord_2</v>
      </c>
    </row>
    <row r="77" spans="1:10" x14ac:dyDescent="0.3">
      <c r="A77" s="12" t="s">
        <v>474</v>
      </c>
      <c r="B77" s="1" t="s">
        <v>130</v>
      </c>
      <c r="C77" s="1" t="s">
        <v>333</v>
      </c>
      <c r="D77" s="13">
        <v>45297</v>
      </c>
      <c r="E77" s="1">
        <v>5880</v>
      </c>
      <c r="F77" s="1">
        <v>36</v>
      </c>
      <c r="G77" s="1" t="str">
        <f>_xlfn.XLOOKUP(Transactions!$C77,Clients[Client_ID],Clients[Client_Name])</f>
        <v>Client_70</v>
      </c>
      <c r="H77" s="1" t="str">
        <f>_xlfn.XLOOKUP(Transactions!$B77,Properties[Property_ID],Properties[City])</f>
        <v>San Francisco</v>
      </c>
      <c r="I77" s="1" t="str">
        <f>_xlfn.XLOOKUP(Transactions!$B77,Properties[Property_ID],Properties[Property_Type])</f>
        <v>Commercial</v>
      </c>
      <c r="J77" s="1" t="str">
        <f>_xlfn.XLOOKUP(Transactions!$B77,Properties[Property_ID],Properties[Landlord_Name])</f>
        <v>Landlord_17</v>
      </c>
    </row>
    <row r="78" spans="1:10" x14ac:dyDescent="0.3">
      <c r="A78" s="14" t="s">
        <v>475</v>
      </c>
      <c r="B78" s="2" t="s">
        <v>127</v>
      </c>
      <c r="C78" s="2" t="s">
        <v>251</v>
      </c>
      <c r="D78" s="15">
        <v>45072</v>
      </c>
      <c r="E78" s="2">
        <v>3101</v>
      </c>
      <c r="F78" s="2">
        <v>18</v>
      </c>
      <c r="G78" s="2" t="str">
        <f>_xlfn.XLOOKUP(Transactions!$C78,Clients[Client_ID],Clients[Client_Name])</f>
        <v>Client_29</v>
      </c>
      <c r="H78" s="2" t="str">
        <f>_xlfn.XLOOKUP(Transactions!$B78,Properties[Property_ID],Properties[City])</f>
        <v>San Francisco</v>
      </c>
      <c r="I78" s="2" t="str">
        <f>_xlfn.XLOOKUP(Transactions!$B78,Properties[Property_ID],Properties[Property_Type])</f>
        <v>Residential</v>
      </c>
      <c r="J78" s="1" t="str">
        <f>_xlfn.XLOOKUP(Transactions!$B78,Properties[Property_ID],Properties[Landlord_Name])</f>
        <v>Landlord_17</v>
      </c>
    </row>
    <row r="79" spans="1:10" x14ac:dyDescent="0.3">
      <c r="A79" s="12" t="s">
        <v>476</v>
      </c>
      <c r="B79" s="1" t="s">
        <v>114</v>
      </c>
      <c r="C79" s="1" t="s">
        <v>363</v>
      </c>
      <c r="D79" s="13">
        <v>44902</v>
      </c>
      <c r="E79" s="1">
        <v>963</v>
      </c>
      <c r="F79" s="1">
        <v>18</v>
      </c>
      <c r="G79" s="1" t="str">
        <f>_xlfn.XLOOKUP(Transactions!$C79,Clients[Client_ID],Clients[Client_Name])</f>
        <v>Client_85</v>
      </c>
      <c r="H79" s="1" t="str">
        <f>_xlfn.XLOOKUP(Transactions!$B79,Properties[Property_ID],Properties[City])</f>
        <v>San Francisco</v>
      </c>
      <c r="I79" s="1" t="str">
        <f>_xlfn.XLOOKUP(Transactions!$B79,Properties[Property_ID],Properties[Property_Type])</f>
        <v>Residential</v>
      </c>
      <c r="J79" s="1" t="str">
        <f>_xlfn.XLOOKUP(Transactions!$B79,Properties[Property_ID],Properties[Landlord_Name])</f>
        <v>Landlord_29</v>
      </c>
    </row>
    <row r="80" spans="1:10" x14ac:dyDescent="0.3">
      <c r="A80" s="14" t="s">
        <v>477</v>
      </c>
      <c r="B80" s="2" t="s">
        <v>105</v>
      </c>
      <c r="C80" s="2" t="s">
        <v>193</v>
      </c>
      <c r="D80" s="15">
        <v>44673</v>
      </c>
      <c r="E80" s="2">
        <v>6180</v>
      </c>
      <c r="F80" s="2">
        <v>36</v>
      </c>
      <c r="G80" s="2" t="str">
        <f>_xlfn.XLOOKUP(Transactions!$C80,Clients[Client_ID],Clients[Client_Name])</f>
        <v>Client_1</v>
      </c>
      <c r="H80" s="2" t="str">
        <f>_xlfn.XLOOKUP(Transactions!$B80,Properties[Property_ID],Properties[City])</f>
        <v>New York</v>
      </c>
      <c r="I80" s="2" t="str">
        <f>_xlfn.XLOOKUP(Transactions!$B80,Properties[Property_ID],Properties[Property_Type])</f>
        <v>Residential</v>
      </c>
      <c r="J80" s="1" t="str">
        <f>_xlfn.XLOOKUP(Transactions!$B80,Properties[Property_ID],Properties[Landlord_Name])</f>
        <v>Landlord_28</v>
      </c>
    </row>
    <row r="81" spans="1:10" x14ac:dyDescent="0.3">
      <c r="A81" s="12" t="s">
        <v>478</v>
      </c>
      <c r="B81" s="1" t="s">
        <v>159</v>
      </c>
      <c r="C81" s="1" t="s">
        <v>289</v>
      </c>
      <c r="D81" s="13">
        <v>44709</v>
      </c>
      <c r="E81" s="1">
        <v>6703</v>
      </c>
      <c r="F81" s="1">
        <v>6</v>
      </c>
      <c r="G81" s="1" t="str">
        <f>_xlfn.XLOOKUP(Transactions!$C81,Clients[Client_ID],Clients[Client_Name])</f>
        <v>Client_48</v>
      </c>
      <c r="H81" s="1" t="str">
        <f>_xlfn.XLOOKUP(Transactions!$B81,Properties[Property_ID],Properties[City])</f>
        <v>Phoenix</v>
      </c>
      <c r="I81" s="1" t="str">
        <f>_xlfn.XLOOKUP(Transactions!$B81,Properties[Property_ID],Properties[Property_Type])</f>
        <v>Commercial</v>
      </c>
      <c r="J81" s="1" t="str">
        <f>_xlfn.XLOOKUP(Transactions!$B81,Properties[Property_ID],Properties[Landlord_Name])</f>
        <v>Landlord_5</v>
      </c>
    </row>
    <row r="82" spans="1:10" x14ac:dyDescent="0.3">
      <c r="A82" s="14" t="s">
        <v>479</v>
      </c>
      <c r="B82" s="2" t="s">
        <v>155</v>
      </c>
      <c r="C82" s="2" t="s">
        <v>345</v>
      </c>
      <c r="D82" s="15">
        <v>45128</v>
      </c>
      <c r="E82" s="2">
        <v>6450</v>
      </c>
      <c r="F82" s="2">
        <v>36</v>
      </c>
      <c r="G82" s="2" t="str">
        <f>_xlfn.XLOOKUP(Transactions!$C82,Clients[Client_ID],Clients[Client_Name])</f>
        <v>Client_76</v>
      </c>
      <c r="H82" s="2" t="str">
        <f>_xlfn.XLOOKUP(Transactions!$B82,Properties[Property_ID],Properties[City])</f>
        <v>Houston</v>
      </c>
      <c r="I82" s="2" t="str">
        <f>_xlfn.XLOOKUP(Transactions!$B82,Properties[Property_ID],Properties[Property_Type])</f>
        <v>Commercial</v>
      </c>
      <c r="J82" s="1" t="str">
        <f>_xlfn.XLOOKUP(Transactions!$B82,Properties[Property_ID],Properties[Landlord_Name])</f>
        <v>Landlord_15</v>
      </c>
    </row>
    <row r="83" spans="1:10" x14ac:dyDescent="0.3">
      <c r="A83" s="12" t="s">
        <v>480</v>
      </c>
      <c r="B83" s="1" t="s">
        <v>132</v>
      </c>
      <c r="C83" s="1" t="s">
        <v>297</v>
      </c>
      <c r="D83" s="13">
        <v>45096</v>
      </c>
      <c r="E83" s="1">
        <v>1086</v>
      </c>
      <c r="F83" s="1">
        <v>18</v>
      </c>
      <c r="G83" s="1" t="str">
        <f>_xlfn.XLOOKUP(Transactions!$C83,Clients[Client_ID],Clients[Client_Name])</f>
        <v>Client_52</v>
      </c>
      <c r="H83" s="1" t="str">
        <f>_xlfn.XLOOKUP(Transactions!$B83,Properties[Property_ID],Properties[City])</f>
        <v>New York</v>
      </c>
      <c r="I83" s="1" t="str">
        <f>_xlfn.XLOOKUP(Transactions!$B83,Properties[Property_ID],Properties[Property_Type])</f>
        <v>Commercial</v>
      </c>
      <c r="J83" s="1" t="str">
        <f>_xlfn.XLOOKUP(Transactions!$B83,Properties[Property_ID],Properties[Landlord_Name])</f>
        <v>Landlord_14</v>
      </c>
    </row>
    <row r="84" spans="1:10" x14ac:dyDescent="0.3">
      <c r="A84" s="14" t="s">
        <v>481</v>
      </c>
      <c r="B84" s="2" t="s">
        <v>106</v>
      </c>
      <c r="C84" s="2" t="s">
        <v>357</v>
      </c>
      <c r="D84" s="15">
        <v>44754</v>
      </c>
      <c r="E84" s="2">
        <v>4721</v>
      </c>
      <c r="F84" s="2">
        <v>12</v>
      </c>
      <c r="G84" s="2" t="str">
        <f>_xlfn.XLOOKUP(Transactions!$C84,Clients[Client_ID],Clients[Client_Name])</f>
        <v>Client_82</v>
      </c>
      <c r="H84" s="2" t="str">
        <f>_xlfn.XLOOKUP(Transactions!$B84,Properties[Property_ID],Properties[City])</f>
        <v>Houston</v>
      </c>
      <c r="I84" s="2" t="str">
        <f>_xlfn.XLOOKUP(Transactions!$B84,Properties[Property_ID],Properties[Property_Type])</f>
        <v>Residential</v>
      </c>
      <c r="J84" s="1" t="str">
        <f>_xlfn.XLOOKUP(Transactions!$B84,Properties[Property_ID],Properties[Landlord_Name])</f>
        <v>Landlord_15</v>
      </c>
    </row>
    <row r="85" spans="1:10" x14ac:dyDescent="0.3">
      <c r="A85" s="12" t="s">
        <v>482</v>
      </c>
      <c r="B85" s="1" t="s">
        <v>130</v>
      </c>
      <c r="C85" s="1" t="s">
        <v>349</v>
      </c>
      <c r="D85" s="13">
        <v>45077</v>
      </c>
      <c r="E85" s="1">
        <v>3957</v>
      </c>
      <c r="F85" s="1">
        <v>18</v>
      </c>
      <c r="G85" s="1" t="str">
        <f>_xlfn.XLOOKUP(Transactions!$C85,Clients[Client_ID],Clients[Client_Name])</f>
        <v>Client_78</v>
      </c>
      <c r="H85" s="1" t="str">
        <f>_xlfn.XLOOKUP(Transactions!$B85,Properties[Property_ID],Properties[City])</f>
        <v>San Francisco</v>
      </c>
      <c r="I85" s="1" t="str">
        <f>_xlfn.XLOOKUP(Transactions!$B85,Properties[Property_ID],Properties[Property_Type])</f>
        <v>Commercial</v>
      </c>
      <c r="J85" s="1" t="str">
        <f>_xlfn.XLOOKUP(Transactions!$B85,Properties[Property_ID],Properties[Landlord_Name])</f>
        <v>Landlord_17</v>
      </c>
    </row>
    <row r="86" spans="1:10" x14ac:dyDescent="0.3">
      <c r="A86" s="14" t="s">
        <v>483</v>
      </c>
      <c r="B86" s="2" t="s">
        <v>158</v>
      </c>
      <c r="C86" s="2" t="s">
        <v>387</v>
      </c>
      <c r="D86" s="15">
        <v>45004</v>
      </c>
      <c r="E86" s="2">
        <v>6431</v>
      </c>
      <c r="F86" s="2">
        <v>24</v>
      </c>
      <c r="G86" s="2" t="str">
        <f>_xlfn.XLOOKUP(Transactions!$C86,Clients[Client_ID],Clients[Client_Name])</f>
        <v>Client_97</v>
      </c>
      <c r="H86" s="2" t="str">
        <f>_xlfn.XLOOKUP(Transactions!$B86,Properties[Property_ID],Properties[City])</f>
        <v>New York</v>
      </c>
      <c r="I86" s="2" t="str">
        <f>_xlfn.XLOOKUP(Transactions!$B86,Properties[Property_ID],Properties[Property_Type])</f>
        <v>Residential</v>
      </c>
      <c r="J86" s="1" t="str">
        <f>_xlfn.XLOOKUP(Transactions!$B86,Properties[Property_ID],Properties[Landlord_Name])</f>
        <v>Landlord_4</v>
      </c>
    </row>
    <row r="87" spans="1:10" x14ac:dyDescent="0.3">
      <c r="A87" s="12" t="s">
        <v>484</v>
      </c>
      <c r="B87" s="1" t="s">
        <v>161</v>
      </c>
      <c r="C87" s="1" t="s">
        <v>223</v>
      </c>
      <c r="D87" s="13">
        <v>44585</v>
      </c>
      <c r="E87" s="1">
        <v>1070</v>
      </c>
      <c r="F87" s="1">
        <v>12</v>
      </c>
      <c r="G87" s="1" t="str">
        <f>_xlfn.XLOOKUP(Transactions!$C87,Clients[Client_ID],Clients[Client_Name])</f>
        <v>Client_15</v>
      </c>
      <c r="H87" s="1" t="str">
        <f>_xlfn.XLOOKUP(Transactions!$B87,Properties[Property_ID],Properties[City])</f>
        <v>Boston</v>
      </c>
      <c r="I87" s="1" t="str">
        <f>_xlfn.XLOOKUP(Transactions!$B87,Properties[Property_ID],Properties[Property_Type])</f>
        <v>Commercial</v>
      </c>
      <c r="J87" s="1" t="str">
        <f>_xlfn.XLOOKUP(Transactions!$B87,Properties[Property_ID],Properties[Landlord_Name])</f>
        <v>Landlord_7</v>
      </c>
    </row>
    <row r="88" spans="1:10" x14ac:dyDescent="0.3">
      <c r="A88" s="14" t="s">
        <v>485</v>
      </c>
      <c r="B88" s="2" t="s">
        <v>118</v>
      </c>
      <c r="C88" s="2" t="s">
        <v>347</v>
      </c>
      <c r="D88" s="15">
        <v>44665</v>
      </c>
      <c r="E88" s="2">
        <v>5662</v>
      </c>
      <c r="F88" s="2">
        <v>24</v>
      </c>
      <c r="G88" s="2" t="str">
        <f>_xlfn.XLOOKUP(Transactions!$C88,Clients[Client_ID],Clients[Client_Name])</f>
        <v>Client_77</v>
      </c>
      <c r="H88" s="2" t="str">
        <f>_xlfn.XLOOKUP(Transactions!$B88,Properties[Property_ID],Properties[City])</f>
        <v>Houston</v>
      </c>
      <c r="I88" s="2" t="str">
        <f>_xlfn.XLOOKUP(Transactions!$B88,Properties[Property_ID],Properties[Property_Type])</f>
        <v>Commercial</v>
      </c>
      <c r="J88" s="1" t="str">
        <f>_xlfn.XLOOKUP(Transactions!$B88,Properties[Property_ID],Properties[Landlord_Name])</f>
        <v>Landlord_15</v>
      </c>
    </row>
    <row r="89" spans="1:10" x14ac:dyDescent="0.3">
      <c r="A89" s="12" t="s">
        <v>486</v>
      </c>
      <c r="B89" s="1" t="s">
        <v>97</v>
      </c>
      <c r="C89" s="1" t="s">
        <v>327</v>
      </c>
      <c r="D89" s="13">
        <v>44880</v>
      </c>
      <c r="E89" s="1">
        <v>2484</v>
      </c>
      <c r="F89" s="1">
        <v>12</v>
      </c>
      <c r="G89" s="1" t="str">
        <f>_xlfn.XLOOKUP(Transactions!$C89,Clients[Client_ID],Clients[Client_Name])</f>
        <v>Client_67</v>
      </c>
      <c r="H89" s="1" t="str">
        <f>_xlfn.XLOOKUP(Transactions!$B89,Properties[Property_ID],Properties[City])</f>
        <v>Houston</v>
      </c>
      <c r="I89" s="1" t="str">
        <f>_xlfn.XLOOKUP(Transactions!$B89,Properties[Property_ID],Properties[Property_Type])</f>
        <v>Commercial</v>
      </c>
      <c r="J89" s="1" t="str">
        <f>_xlfn.XLOOKUP(Transactions!$B89,Properties[Property_ID],Properties[Landlord_Name])</f>
        <v>Landlord_21</v>
      </c>
    </row>
    <row r="90" spans="1:10" x14ac:dyDescent="0.3">
      <c r="A90" s="14" t="s">
        <v>487</v>
      </c>
      <c r="B90" s="2" t="s">
        <v>126</v>
      </c>
      <c r="C90" s="2" t="s">
        <v>265</v>
      </c>
      <c r="D90" s="15">
        <v>44811</v>
      </c>
      <c r="E90" s="2">
        <v>7644</v>
      </c>
      <c r="F90" s="2">
        <v>24</v>
      </c>
      <c r="G90" s="2" t="str">
        <f>_xlfn.XLOOKUP(Transactions!$C90,Clients[Client_ID],Clients[Client_Name])</f>
        <v>Client_36</v>
      </c>
      <c r="H90" s="2" t="str">
        <f>_xlfn.XLOOKUP(Transactions!$B90,Properties[Property_ID],Properties[City])</f>
        <v>San Francisco</v>
      </c>
      <c r="I90" s="2" t="str">
        <f>_xlfn.XLOOKUP(Transactions!$B90,Properties[Property_ID],Properties[Property_Type])</f>
        <v>Residential</v>
      </c>
      <c r="J90" s="1" t="str">
        <f>_xlfn.XLOOKUP(Transactions!$B90,Properties[Property_ID],Properties[Landlord_Name])</f>
        <v>Landlord_25</v>
      </c>
    </row>
    <row r="91" spans="1:10" x14ac:dyDescent="0.3">
      <c r="A91" s="12" t="s">
        <v>488</v>
      </c>
      <c r="B91" s="1" t="s">
        <v>186</v>
      </c>
      <c r="C91" s="1" t="s">
        <v>269</v>
      </c>
      <c r="D91" s="13">
        <v>44710</v>
      </c>
      <c r="E91" s="1">
        <v>2767</v>
      </c>
      <c r="F91" s="1">
        <v>18</v>
      </c>
      <c r="G91" s="1" t="str">
        <f>_xlfn.XLOOKUP(Transactions!$C91,Clients[Client_ID],Clients[Client_Name])</f>
        <v>Client_38</v>
      </c>
      <c r="H91" s="1" t="str">
        <f>_xlfn.XLOOKUP(Transactions!$B91,Properties[Property_ID],Properties[City])</f>
        <v>Chicago</v>
      </c>
      <c r="I91" s="1" t="str">
        <f>_xlfn.XLOOKUP(Transactions!$B91,Properties[Property_ID],Properties[Property_Type])</f>
        <v>Commercial</v>
      </c>
      <c r="J91" s="1" t="str">
        <f>_xlfn.XLOOKUP(Transactions!$B91,Properties[Property_ID],Properties[Landlord_Name])</f>
        <v>Landlord_27</v>
      </c>
    </row>
    <row r="92" spans="1:10" x14ac:dyDescent="0.3">
      <c r="A92" s="14" t="s">
        <v>489</v>
      </c>
      <c r="B92" s="2" t="s">
        <v>109</v>
      </c>
      <c r="C92" s="2" t="s">
        <v>257</v>
      </c>
      <c r="D92" s="15">
        <v>44770</v>
      </c>
      <c r="E92" s="2">
        <v>6882</v>
      </c>
      <c r="F92" s="2">
        <v>6</v>
      </c>
      <c r="G92" s="2" t="str">
        <f>_xlfn.XLOOKUP(Transactions!$C92,Clients[Client_ID],Clients[Client_Name])</f>
        <v>Client_32</v>
      </c>
      <c r="H92" s="2" t="str">
        <f>_xlfn.XLOOKUP(Transactions!$B92,Properties[Property_ID],Properties[City])</f>
        <v>Chicago</v>
      </c>
      <c r="I92" s="2" t="str">
        <f>_xlfn.XLOOKUP(Transactions!$B92,Properties[Property_ID],Properties[Property_Type])</f>
        <v>Residential</v>
      </c>
      <c r="J92" s="1" t="str">
        <f>_xlfn.XLOOKUP(Transactions!$B92,Properties[Property_ID],Properties[Landlord_Name])</f>
        <v>Landlord_19</v>
      </c>
    </row>
    <row r="93" spans="1:10" x14ac:dyDescent="0.3">
      <c r="A93" s="12" t="s">
        <v>490</v>
      </c>
      <c r="B93" s="1" t="s">
        <v>98</v>
      </c>
      <c r="C93" s="1" t="s">
        <v>249</v>
      </c>
      <c r="D93" s="13">
        <v>44681</v>
      </c>
      <c r="E93" s="1">
        <v>5928</v>
      </c>
      <c r="F93" s="1">
        <v>24</v>
      </c>
      <c r="G93" s="1" t="str">
        <f>_xlfn.XLOOKUP(Transactions!$C93,Clients[Client_ID],Clients[Client_Name])</f>
        <v>Client_28</v>
      </c>
      <c r="H93" s="1" t="str">
        <f>_xlfn.XLOOKUP(Transactions!$B93,Properties[Property_ID],Properties[City])</f>
        <v>San Francisco</v>
      </c>
      <c r="I93" s="1" t="str">
        <f>_xlfn.XLOOKUP(Transactions!$B93,Properties[Property_ID],Properties[Property_Type])</f>
        <v>Residential</v>
      </c>
      <c r="J93" s="1" t="str">
        <f>_xlfn.XLOOKUP(Transactions!$B93,Properties[Property_ID],Properties[Landlord_Name])</f>
        <v>Landlord_13</v>
      </c>
    </row>
    <row r="94" spans="1:10" x14ac:dyDescent="0.3">
      <c r="A94" s="14" t="s">
        <v>491</v>
      </c>
      <c r="B94" s="2" t="s">
        <v>122</v>
      </c>
      <c r="C94" s="2" t="s">
        <v>349</v>
      </c>
      <c r="D94" s="15">
        <v>45141</v>
      </c>
      <c r="E94" s="2">
        <v>2475</v>
      </c>
      <c r="F94" s="2">
        <v>24</v>
      </c>
      <c r="G94" s="2" t="str">
        <f>_xlfn.XLOOKUP(Transactions!$C94,Clients[Client_ID],Clients[Client_Name])</f>
        <v>Client_78</v>
      </c>
      <c r="H94" s="2" t="str">
        <f>_xlfn.XLOOKUP(Transactions!$B94,Properties[Property_ID],Properties[City])</f>
        <v>Phoenix</v>
      </c>
      <c r="I94" s="2" t="str">
        <f>_xlfn.XLOOKUP(Transactions!$B94,Properties[Property_ID],Properties[Property_Type])</f>
        <v>Residential</v>
      </c>
      <c r="J94" s="1" t="str">
        <f>_xlfn.XLOOKUP(Transactions!$B94,Properties[Property_ID],Properties[Landlord_Name])</f>
        <v>Landlord_12</v>
      </c>
    </row>
    <row r="95" spans="1:10" x14ac:dyDescent="0.3">
      <c r="A95" s="12" t="s">
        <v>492</v>
      </c>
      <c r="B95" s="1" t="s">
        <v>140</v>
      </c>
      <c r="C95" s="1" t="s">
        <v>309</v>
      </c>
      <c r="D95" s="13">
        <v>45451</v>
      </c>
      <c r="E95" s="1">
        <v>6611</v>
      </c>
      <c r="F95" s="1">
        <v>18</v>
      </c>
      <c r="G95" s="1" t="str">
        <f>_xlfn.XLOOKUP(Transactions!$C95,Clients[Client_ID],Clients[Client_Name])</f>
        <v>Client_58</v>
      </c>
      <c r="H95" s="1" t="str">
        <f>_xlfn.XLOOKUP(Transactions!$B95,Properties[Property_ID],Properties[City])</f>
        <v>Los Angeles</v>
      </c>
      <c r="I95" s="1" t="str">
        <f>_xlfn.XLOOKUP(Transactions!$B95,Properties[Property_ID],Properties[Property_Type])</f>
        <v>Residential</v>
      </c>
      <c r="J95" s="1" t="str">
        <f>_xlfn.XLOOKUP(Transactions!$B95,Properties[Property_ID],Properties[Landlord_Name])</f>
        <v>Landlord_9</v>
      </c>
    </row>
    <row r="96" spans="1:10" x14ac:dyDescent="0.3">
      <c r="A96" s="14" t="s">
        <v>493</v>
      </c>
      <c r="B96" s="2" t="s">
        <v>164</v>
      </c>
      <c r="C96" s="2" t="s">
        <v>381</v>
      </c>
      <c r="D96" s="15">
        <v>45076</v>
      </c>
      <c r="E96" s="2">
        <v>6129</v>
      </c>
      <c r="F96" s="2">
        <v>18</v>
      </c>
      <c r="G96" s="2" t="str">
        <f>_xlfn.XLOOKUP(Transactions!$C96,Clients[Client_ID],Clients[Client_Name])</f>
        <v>Client_94</v>
      </c>
      <c r="H96" s="2" t="str">
        <f>_xlfn.XLOOKUP(Transactions!$B96,Properties[Property_ID],Properties[City])</f>
        <v>San Francisco</v>
      </c>
      <c r="I96" s="2" t="str">
        <f>_xlfn.XLOOKUP(Transactions!$B96,Properties[Property_ID],Properties[Property_Type])</f>
        <v>Commercial</v>
      </c>
      <c r="J96" s="1" t="str">
        <f>_xlfn.XLOOKUP(Transactions!$B96,Properties[Property_ID],Properties[Landlord_Name])</f>
        <v>Landlord_29</v>
      </c>
    </row>
    <row r="97" spans="1:10" x14ac:dyDescent="0.3">
      <c r="A97" s="12" t="s">
        <v>494</v>
      </c>
      <c r="B97" s="1" t="s">
        <v>137</v>
      </c>
      <c r="C97" s="1" t="s">
        <v>327</v>
      </c>
      <c r="D97" s="13">
        <v>45071</v>
      </c>
      <c r="E97" s="1">
        <v>2194</v>
      </c>
      <c r="F97" s="1">
        <v>12</v>
      </c>
      <c r="G97" s="1" t="str">
        <f>_xlfn.XLOOKUP(Transactions!$C97,Clients[Client_ID],Clients[Client_Name])</f>
        <v>Client_67</v>
      </c>
      <c r="H97" s="1" t="str">
        <f>_xlfn.XLOOKUP(Transactions!$B97,Properties[Property_ID],Properties[City])</f>
        <v>San Francisco</v>
      </c>
      <c r="I97" s="1" t="str">
        <f>_xlfn.XLOOKUP(Transactions!$B97,Properties[Property_ID],Properties[Property_Type])</f>
        <v>Commercial</v>
      </c>
      <c r="J97" s="1" t="str">
        <f>_xlfn.XLOOKUP(Transactions!$B97,Properties[Property_ID],Properties[Landlord_Name])</f>
        <v>Landlord_13</v>
      </c>
    </row>
    <row r="98" spans="1:10" x14ac:dyDescent="0.3">
      <c r="A98" s="14" t="s">
        <v>495</v>
      </c>
      <c r="B98" s="2" t="s">
        <v>127</v>
      </c>
      <c r="C98" s="2" t="s">
        <v>387</v>
      </c>
      <c r="D98" s="15">
        <v>44635</v>
      </c>
      <c r="E98" s="2">
        <v>3353</v>
      </c>
      <c r="F98" s="2">
        <v>6</v>
      </c>
      <c r="G98" s="2" t="str">
        <f>_xlfn.XLOOKUP(Transactions!$C98,Clients[Client_ID],Clients[Client_Name])</f>
        <v>Client_97</v>
      </c>
      <c r="H98" s="2" t="str">
        <f>_xlfn.XLOOKUP(Transactions!$B98,Properties[Property_ID],Properties[City])</f>
        <v>San Francisco</v>
      </c>
      <c r="I98" s="2" t="str">
        <f>_xlfn.XLOOKUP(Transactions!$B98,Properties[Property_ID],Properties[Property_Type])</f>
        <v>Residential</v>
      </c>
      <c r="J98" s="1" t="str">
        <f>_xlfn.XLOOKUP(Transactions!$B98,Properties[Property_ID],Properties[Landlord_Name])</f>
        <v>Landlord_17</v>
      </c>
    </row>
    <row r="99" spans="1:10" x14ac:dyDescent="0.3">
      <c r="A99" s="12" t="s">
        <v>496</v>
      </c>
      <c r="B99" s="1" t="s">
        <v>141</v>
      </c>
      <c r="C99" s="1" t="s">
        <v>215</v>
      </c>
      <c r="D99" s="13">
        <v>44973</v>
      </c>
      <c r="E99" s="1">
        <v>6758</v>
      </c>
      <c r="F99" s="1">
        <v>12</v>
      </c>
      <c r="G99" s="1" t="str">
        <f>_xlfn.XLOOKUP(Transactions!$C99,Clients[Client_ID],Clients[Client_Name])</f>
        <v>Client_11</v>
      </c>
      <c r="H99" s="1" t="str">
        <f>_xlfn.XLOOKUP(Transactions!$B99,Properties[Property_ID],Properties[City])</f>
        <v>New York</v>
      </c>
      <c r="I99" s="1" t="str">
        <f>_xlfn.XLOOKUP(Transactions!$B99,Properties[Property_ID],Properties[Property_Type])</f>
        <v>Residential</v>
      </c>
      <c r="J99" s="1" t="str">
        <f>_xlfn.XLOOKUP(Transactions!$B99,Properties[Property_ID],Properties[Landlord_Name])</f>
        <v>Landlord_10</v>
      </c>
    </row>
    <row r="100" spans="1:10" x14ac:dyDescent="0.3">
      <c r="A100" s="14" t="s">
        <v>497</v>
      </c>
      <c r="B100" s="2" t="s">
        <v>175</v>
      </c>
      <c r="C100" s="2" t="s">
        <v>269</v>
      </c>
      <c r="D100" s="15">
        <v>44951</v>
      </c>
      <c r="E100" s="2">
        <v>7885</v>
      </c>
      <c r="F100" s="2">
        <v>36</v>
      </c>
      <c r="G100" s="2" t="str">
        <f>_xlfn.XLOOKUP(Transactions!$C100,Clients[Client_ID],Clients[Client_Name])</f>
        <v>Client_38</v>
      </c>
      <c r="H100" s="2" t="str">
        <f>_xlfn.XLOOKUP(Transactions!$B100,Properties[Property_ID],Properties[City])</f>
        <v>Houston</v>
      </c>
      <c r="I100" s="2" t="str">
        <f>_xlfn.XLOOKUP(Transactions!$B100,Properties[Property_ID],Properties[Property_Type])</f>
        <v>Commercial</v>
      </c>
      <c r="J100" s="1" t="str">
        <f>_xlfn.XLOOKUP(Transactions!$B100,Properties[Property_ID],Properties[Landlord_Name])</f>
        <v>Landlord_26</v>
      </c>
    </row>
    <row r="101" spans="1:10" x14ac:dyDescent="0.3">
      <c r="A101" s="12" t="s">
        <v>498</v>
      </c>
      <c r="B101" s="1" t="s">
        <v>175</v>
      </c>
      <c r="C101" s="1" t="s">
        <v>259</v>
      </c>
      <c r="D101" s="13">
        <v>44717</v>
      </c>
      <c r="E101" s="1">
        <v>4597</v>
      </c>
      <c r="F101" s="1">
        <v>12</v>
      </c>
      <c r="G101" s="1" t="str">
        <f>_xlfn.XLOOKUP(Transactions!$C101,Clients[Client_ID],Clients[Client_Name])</f>
        <v>Client_33</v>
      </c>
      <c r="H101" s="1" t="str">
        <f>_xlfn.XLOOKUP(Transactions!$B101,Properties[Property_ID],Properties[City])</f>
        <v>Houston</v>
      </c>
      <c r="I101" s="1" t="str">
        <f>_xlfn.XLOOKUP(Transactions!$B101,Properties[Property_ID],Properties[Property_Type])</f>
        <v>Commercial</v>
      </c>
      <c r="J101" s="1" t="str">
        <f>_xlfn.XLOOKUP(Transactions!$B101,Properties[Property_ID],Properties[Landlord_Name])</f>
        <v>Landlord_26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1576-2AD2-48DC-865B-874303EE690D}">
  <dimension ref="A1:H29"/>
  <sheetViews>
    <sheetView workbookViewId="0">
      <selection activeCell="L14" sqref="L14"/>
    </sheetView>
  </sheetViews>
  <sheetFormatPr defaultRowHeight="14.4" x14ac:dyDescent="0.3"/>
  <cols>
    <col min="1" max="1" width="12.5546875" bestFit="1" customWidth="1"/>
    <col min="2" max="2" width="19.109375" bestFit="1" customWidth="1"/>
    <col min="3" max="3" width="22.6640625" bestFit="1" customWidth="1"/>
    <col min="4" max="4" width="15.77734375" bestFit="1" customWidth="1"/>
    <col min="5" max="5" width="17.33203125" bestFit="1" customWidth="1"/>
    <col min="7" max="7" width="11.44140625" bestFit="1" customWidth="1"/>
    <col min="8" max="8" width="17.33203125" bestFit="1" customWidth="1"/>
    <col min="9" max="11" width="4" bestFit="1" customWidth="1"/>
    <col min="12" max="106" width="5" bestFit="1" customWidth="1"/>
    <col min="107" max="107" width="10.77734375" bestFit="1" customWidth="1"/>
  </cols>
  <sheetData>
    <row r="1" spans="1:8" x14ac:dyDescent="0.3">
      <c r="A1" s="3" t="s">
        <v>499</v>
      </c>
      <c r="D1" s="3" t="s">
        <v>505</v>
      </c>
      <c r="G1" s="3" t="s">
        <v>506</v>
      </c>
    </row>
    <row r="2" spans="1:8" x14ac:dyDescent="0.3">
      <c r="A2" s="4" t="s">
        <v>4</v>
      </c>
      <c r="B2" t="s">
        <v>502</v>
      </c>
      <c r="D2" s="4" t="s">
        <v>3</v>
      </c>
      <c r="E2" t="s">
        <v>502</v>
      </c>
      <c r="G2" s="4" t="s">
        <v>507</v>
      </c>
      <c r="H2" t="s">
        <v>502</v>
      </c>
    </row>
    <row r="3" spans="1:8" x14ac:dyDescent="0.3">
      <c r="A3" s="5" t="s">
        <v>9</v>
      </c>
      <c r="B3" s="6">
        <v>134095</v>
      </c>
      <c r="D3" s="5" t="s">
        <v>22</v>
      </c>
      <c r="E3" s="6">
        <v>214964</v>
      </c>
      <c r="G3" s="5" t="s">
        <v>54</v>
      </c>
      <c r="H3" s="6">
        <v>54040</v>
      </c>
    </row>
    <row r="4" spans="1:8" x14ac:dyDescent="0.3">
      <c r="A4" s="5" t="s">
        <v>501</v>
      </c>
      <c r="B4" s="6">
        <v>134095</v>
      </c>
      <c r="D4" s="5" t="s">
        <v>8</v>
      </c>
      <c r="E4" s="6">
        <v>225920</v>
      </c>
      <c r="G4" s="5" t="s">
        <v>74</v>
      </c>
      <c r="H4" s="6">
        <v>49804</v>
      </c>
    </row>
    <row r="5" spans="1:8" x14ac:dyDescent="0.3">
      <c r="D5" s="5" t="s">
        <v>501</v>
      </c>
      <c r="E5" s="6">
        <v>440884</v>
      </c>
      <c r="G5" s="5" t="s">
        <v>68</v>
      </c>
      <c r="H5" s="6">
        <v>34559</v>
      </c>
    </row>
    <row r="6" spans="1:8" x14ac:dyDescent="0.3">
      <c r="G6" s="5" t="s">
        <v>45</v>
      </c>
      <c r="H6" s="6">
        <v>28824</v>
      </c>
    </row>
    <row r="7" spans="1:8" x14ac:dyDescent="0.3">
      <c r="G7" s="5" t="s">
        <v>41</v>
      </c>
      <c r="H7" s="6">
        <v>28053</v>
      </c>
    </row>
    <row r="8" spans="1:8" x14ac:dyDescent="0.3">
      <c r="D8" s="18"/>
      <c r="G8" s="5" t="s">
        <v>50</v>
      </c>
      <c r="H8" s="6">
        <v>23971</v>
      </c>
    </row>
    <row r="9" spans="1:8" x14ac:dyDescent="0.3">
      <c r="G9" s="5" t="s">
        <v>32</v>
      </c>
      <c r="H9" s="6">
        <v>23598</v>
      </c>
    </row>
    <row r="10" spans="1:8" x14ac:dyDescent="0.3">
      <c r="G10" s="5" t="s">
        <v>66</v>
      </c>
      <c r="H10" s="6">
        <v>21586</v>
      </c>
    </row>
    <row r="11" spans="1:8" x14ac:dyDescent="0.3">
      <c r="G11" s="5" t="s">
        <v>15</v>
      </c>
      <c r="H11" s="6">
        <v>18875</v>
      </c>
    </row>
    <row r="12" spans="1:8" x14ac:dyDescent="0.3">
      <c r="A12" s="3" t="s">
        <v>503</v>
      </c>
      <c r="G12" s="5" t="s">
        <v>39</v>
      </c>
      <c r="H12" s="6">
        <v>16315</v>
      </c>
    </row>
    <row r="13" spans="1:8" x14ac:dyDescent="0.3">
      <c r="A13" s="4" t="s">
        <v>500</v>
      </c>
      <c r="B13" t="s">
        <v>504</v>
      </c>
      <c r="G13" s="5" t="s">
        <v>43</v>
      </c>
      <c r="H13" s="6">
        <v>15815</v>
      </c>
    </row>
    <row r="14" spans="1:8" x14ac:dyDescent="0.3">
      <c r="A14" s="5" t="s">
        <v>86</v>
      </c>
      <c r="B14" s="6">
        <v>44</v>
      </c>
      <c r="G14" s="5" t="s">
        <v>21</v>
      </c>
      <c r="H14" s="6">
        <v>14218</v>
      </c>
    </row>
    <row r="15" spans="1:8" x14ac:dyDescent="0.3">
      <c r="A15" s="5" t="s">
        <v>84</v>
      </c>
      <c r="B15" s="6">
        <v>56</v>
      </c>
      <c r="G15" s="5" t="s">
        <v>12</v>
      </c>
      <c r="H15" s="6">
        <v>13075</v>
      </c>
    </row>
    <row r="16" spans="1:8" x14ac:dyDescent="0.3">
      <c r="A16" s="5" t="s">
        <v>501</v>
      </c>
      <c r="B16" s="6">
        <v>100</v>
      </c>
      <c r="G16" s="5" t="s">
        <v>56</v>
      </c>
      <c r="H16" s="6">
        <v>12199</v>
      </c>
    </row>
    <row r="17" spans="7:8" x14ac:dyDescent="0.3">
      <c r="G17" s="5" t="s">
        <v>72</v>
      </c>
      <c r="H17" s="6">
        <v>11444</v>
      </c>
    </row>
    <row r="18" spans="7:8" x14ac:dyDescent="0.3">
      <c r="G18" s="5" t="s">
        <v>7</v>
      </c>
      <c r="H18" s="6">
        <v>10681</v>
      </c>
    </row>
    <row r="19" spans="7:8" x14ac:dyDescent="0.3">
      <c r="G19" s="5" t="s">
        <v>37</v>
      </c>
      <c r="H19" s="6">
        <v>10591</v>
      </c>
    </row>
    <row r="20" spans="7:8" x14ac:dyDescent="0.3">
      <c r="G20" s="5" t="s">
        <v>25</v>
      </c>
      <c r="H20" s="6">
        <v>9603</v>
      </c>
    </row>
    <row r="21" spans="7:8" x14ac:dyDescent="0.3">
      <c r="G21" s="5" t="s">
        <v>35</v>
      </c>
      <c r="H21" s="6">
        <v>9483</v>
      </c>
    </row>
    <row r="22" spans="7:8" x14ac:dyDescent="0.3">
      <c r="G22" s="5" t="s">
        <v>30</v>
      </c>
      <c r="H22" s="6">
        <v>6791</v>
      </c>
    </row>
    <row r="23" spans="7:8" x14ac:dyDescent="0.3">
      <c r="G23" s="5" t="s">
        <v>18</v>
      </c>
      <c r="H23" s="6">
        <v>6431</v>
      </c>
    </row>
    <row r="24" spans="7:8" x14ac:dyDescent="0.3">
      <c r="G24" s="5" t="s">
        <v>58</v>
      </c>
      <c r="H24" s="6">
        <v>6297</v>
      </c>
    </row>
    <row r="25" spans="7:8" x14ac:dyDescent="0.3">
      <c r="G25" s="5" t="s">
        <v>64</v>
      </c>
      <c r="H25" s="6">
        <v>5854</v>
      </c>
    </row>
    <row r="26" spans="7:8" x14ac:dyDescent="0.3">
      <c r="G26" s="5" t="s">
        <v>52</v>
      </c>
      <c r="H26" s="6">
        <v>3551</v>
      </c>
    </row>
    <row r="27" spans="7:8" x14ac:dyDescent="0.3">
      <c r="G27" s="5" t="s">
        <v>70</v>
      </c>
      <c r="H27" s="6">
        <v>2767</v>
      </c>
    </row>
    <row r="28" spans="7:8" x14ac:dyDescent="0.3">
      <c r="G28" s="5" t="s">
        <v>27</v>
      </c>
      <c r="H28" s="6">
        <v>2459</v>
      </c>
    </row>
    <row r="29" spans="7:8" x14ac:dyDescent="0.3">
      <c r="G29" s="5" t="s">
        <v>501</v>
      </c>
      <c r="H29" s="6">
        <v>440884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B7F4-705B-4149-B687-54346F020C67}">
  <dimension ref="A1:B3"/>
  <sheetViews>
    <sheetView workbookViewId="0">
      <selection activeCell="C6" sqref="C6"/>
    </sheetView>
  </sheetViews>
  <sheetFormatPr defaultRowHeight="14.4" x14ac:dyDescent="0.3"/>
  <cols>
    <col min="1" max="1" width="14.77734375" bestFit="1" customWidth="1"/>
    <col min="2" max="2" width="15.88671875" bestFit="1" customWidth="1"/>
  </cols>
  <sheetData>
    <row r="1" spans="1:2" x14ac:dyDescent="0.3">
      <c r="A1" s="27" t="s">
        <v>508</v>
      </c>
      <c r="B1" s="27" t="s">
        <v>509</v>
      </c>
    </row>
    <row r="2" spans="1:2" x14ac:dyDescent="0.3">
      <c r="A2" s="26" t="s">
        <v>8</v>
      </c>
      <c r="B2" s="26" t="s">
        <v>84</v>
      </c>
    </row>
    <row r="3" spans="1:2" x14ac:dyDescent="0.3">
      <c r="A3" s="26" t="s">
        <v>22</v>
      </c>
      <c r="B3" s="26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97DF-5F30-41E2-80FE-6277FF1D1F1E}">
  <dimension ref="A1:I9"/>
  <sheetViews>
    <sheetView showGridLines="0" tabSelected="1" workbookViewId="0">
      <selection activeCell="J3" sqref="J3"/>
    </sheetView>
  </sheetViews>
  <sheetFormatPr defaultRowHeight="14.4" x14ac:dyDescent="0.3"/>
  <cols>
    <col min="1" max="1" width="7.21875" bestFit="1" customWidth="1"/>
    <col min="2" max="2" width="14.109375" bestFit="1" customWidth="1"/>
    <col min="3" max="3" width="18.109375" bestFit="1" customWidth="1"/>
    <col min="4" max="4" width="17.88671875" bestFit="1" customWidth="1"/>
    <col min="5" max="5" width="19" bestFit="1" customWidth="1"/>
    <col min="6" max="6" width="19.5546875" bestFit="1" customWidth="1"/>
    <col min="8" max="8" width="5.77734375" customWidth="1"/>
  </cols>
  <sheetData>
    <row r="1" spans="1:9" ht="15" thickBot="1" x14ac:dyDescent="0.35"/>
    <row r="2" spans="1:9" ht="39" customHeight="1" thickTop="1" thickBot="1" x14ac:dyDescent="0.35">
      <c r="A2" s="24" t="s">
        <v>511</v>
      </c>
      <c r="B2" s="25" t="s">
        <v>512</v>
      </c>
      <c r="C2" s="20" t="s">
        <v>513</v>
      </c>
      <c r="D2" s="20" t="s">
        <v>514</v>
      </c>
      <c r="E2" s="20" t="s">
        <v>515</v>
      </c>
      <c r="F2" s="20" t="s">
        <v>516</v>
      </c>
    </row>
    <row r="3" spans="1:9" ht="57" customHeight="1" thickTop="1" thickBot="1" x14ac:dyDescent="0.35">
      <c r="A3" s="24" t="s">
        <v>510</v>
      </c>
      <c r="B3" s="23">
        <f>COUNTA(Properties[Property_ID])</f>
        <v>100</v>
      </c>
      <c r="C3" s="19">
        <f>COUNTIF(Properties[Property_Status],"Occupied")</f>
        <v>56</v>
      </c>
      <c r="D3" s="19">
        <f>COUNTIF(Properties[Property_Status],"Available")</f>
        <v>44</v>
      </c>
      <c r="E3" s="21">
        <f>SUM(Transactions[Rent_Value])</f>
        <v>440884</v>
      </c>
      <c r="F3" s="22">
        <f>COUNTIF(Landlords[Contact_Status],"Active")</f>
        <v>10</v>
      </c>
    </row>
    <row r="4" spans="1:9" ht="18" customHeight="1" thickTop="1" x14ac:dyDescent="0.3"/>
    <row r="5" spans="1:9" ht="18" customHeight="1" x14ac:dyDescent="0.3"/>
    <row r="6" spans="1:9" ht="18" customHeight="1" x14ac:dyDescent="0.3"/>
    <row r="7" spans="1:9" ht="18" customHeight="1" x14ac:dyDescent="0.3"/>
    <row r="8" spans="1:9" ht="18" customHeight="1" x14ac:dyDescent="0.3"/>
    <row r="9" spans="1:9" x14ac:dyDescent="0.3">
      <c r="A9" s="3" t="s">
        <v>517</v>
      </c>
      <c r="B9" s="3"/>
      <c r="C9" s="3"/>
      <c r="E9" s="3" t="s">
        <v>518</v>
      </c>
      <c r="I9" s="3" t="s">
        <v>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Landlords</vt:lpstr>
      <vt:lpstr>Properties</vt:lpstr>
      <vt:lpstr>Clients</vt:lpstr>
      <vt:lpstr>Transactions</vt:lpstr>
      <vt:lpstr>Pivot Tables</vt:lpstr>
      <vt:lpstr>ValidationList</vt:lpstr>
      <vt:lpstr>Real_Estate_Dashboard</vt:lpstr>
      <vt:lpstr>PropertyStatusList</vt:lpstr>
      <vt:lpstr>PropertyTypeList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ganga binish</cp:lastModifiedBy>
  <dcterms:created xsi:type="dcterms:W3CDTF">2025-12-18T09:07:10Z</dcterms:created>
  <dcterms:modified xsi:type="dcterms:W3CDTF">2025-12-19T09:10:27Z</dcterms:modified>
</cp:coreProperties>
</file>